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unter\Documents\"/>
    </mc:Choice>
  </mc:AlternateContent>
  <bookViews>
    <workbookView xWindow="0" yWindow="0" windowWidth="0" windowHeight="17610" activeTab="5"/>
  </bookViews>
  <sheets>
    <sheet name="All" sheetId="3" r:id="rId1"/>
    <sheet name="Enter Data Here" sheetId="1" r:id="rId2"/>
    <sheet name="3D Histogram" sheetId="2" r:id="rId3"/>
    <sheet name="Individual Shot Sheets" sheetId="13" r:id="rId4"/>
    <sheet name="Moving Sheets" sheetId="11" r:id="rId5"/>
    <sheet name="Simple Moving Average Charts" sheetId="12" r:id="rId6"/>
    <sheet name="Emily" sheetId="4" r:id="rId7"/>
    <sheet name="Todd" sheetId="5" r:id="rId8"/>
    <sheet name="Hunter" sheetId="6" r:id="rId9"/>
    <sheet name="Anthony" sheetId="7" r:id="rId10"/>
    <sheet name="Mary" sheetId="8" r:id="rId11"/>
    <sheet name="Brett" sheetId="9" r:id="rId12"/>
    <sheet name="Individual stats" sheetId="10" r:id="rId13"/>
  </sheets>
  <calcPr calcId="171027"/>
</workbook>
</file>

<file path=xl/calcChain.xml><?xml version="1.0" encoding="utf-8"?>
<calcChain xmlns="http://schemas.openxmlformats.org/spreadsheetml/2006/main">
  <c r="B3" i="13" l="1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2" i="13"/>
  <c r="A3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2" i="13"/>
  <c r="B120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2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2" i="11"/>
  <c r="F1" i="13" l="1"/>
  <c r="F18" i="13"/>
  <c r="C3" i="12"/>
  <c r="F6" i="12" s="1"/>
  <c r="C4" i="12"/>
  <c r="F7" i="12" s="1"/>
  <c r="C5" i="12"/>
  <c r="C6" i="12"/>
  <c r="C7" i="12"/>
  <c r="C8" i="12"/>
  <c r="C9" i="12"/>
  <c r="C10" i="12"/>
  <c r="F13" i="12" s="1"/>
  <c r="C11" i="12"/>
  <c r="C12" i="12"/>
  <c r="C13" i="12"/>
  <c r="C14" i="12"/>
  <c r="C15" i="12"/>
  <c r="C16" i="12"/>
  <c r="C17" i="12"/>
  <c r="C18" i="12"/>
  <c r="F21" i="12" s="1"/>
  <c r="C19" i="12"/>
  <c r="F22" i="12" s="1"/>
  <c r="C20" i="12"/>
  <c r="C21" i="12"/>
  <c r="C22" i="12"/>
  <c r="C23" i="12"/>
  <c r="C24" i="12"/>
  <c r="C25" i="12"/>
  <c r="C26" i="12"/>
  <c r="F29" i="12" s="1"/>
  <c r="C27" i="12"/>
  <c r="F30" i="12" s="1"/>
  <c r="C28" i="12"/>
  <c r="C29" i="12"/>
  <c r="C30" i="12"/>
  <c r="C31" i="12"/>
  <c r="C32" i="12"/>
  <c r="C33" i="12"/>
  <c r="C34" i="12"/>
  <c r="F37" i="12" s="1"/>
  <c r="C35" i="12"/>
  <c r="F38" i="12" s="1"/>
  <c r="C36" i="12"/>
  <c r="C37" i="12"/>
  <c r="C38" i="12"/>
  <c r="C39" i="12"/>
  <c r="C40" i="12"/>
  <c r="C41" i="12"/>
  <c r="C42" i="12"/>
  <c r="F45" i="12" s="1"/>
  <c r="C43" i="12"/>
  <c r="F46" i="12" s="1"/>
  <c r="C44" i="12"/>
  <c r="C45" i="12"/>
  <c r="C46" i="12"/>
  <c r="C47" i="12"/>
  <c r="C48" i="12"/>
  <c r="C49" i="12"/>
  <c r="C50" i="12"/>
  <c r="F53" i="12" s="1"/>
  <c r="C51" i="12"/>
  <c r="F54" i="12" s="1"/>
  <c r="C52" i="12"/>
  <c r="C53" i="12"/>
  <c r="C54" i="12"/>
  <c r="C55" i="12"/>
  <c r="C56" i="12"/>
  <c r="C57" i="12"/>
  <c r="C58" i="12"/>
  <c r="F61" i="12" s="1"/>
  <c r="C59" i="12"/>
  <c r="F62" i="12" s="1"/>
  <c r="C60" i="12"/>
  <c r="C61" i="12"/>
  <c r="C62" i="12"/>
  <c r="C63" i="12"/>
  <c r="C64" i="12"/>
  <c r="C65" i="12"/>
  <c r="C66" i="12"/>
  <c r="F69" i="12" s="1"/>
  <c r="C67" i="12"/>
  <c r="F70" i="12" s="1"/>
  <c r="C68" i="12"/>
  <c r="C69" i="12"/>
  <c r="C70" i="12"/>
  <c r="C71" i="12"/>
  <c r="C72" i="12"/>
  <c r="C73" i="12"/>
  <c r="C74" i="12"/>
  <c r="F77" i="12" s="1"/>
  <c r="C75" i="12"/>
  <c r="F78" i="12" s="1"/>
  <c r="C76" i="12"/>
  <c r="C77" i="12"/>
  <c r="C78" i="12"/>
  <c r="C79" i="12"/>
  <c r="C80" i="12"/>
  <c r="C81" i="12"/>
  <c r="C82" i="12"/>
  <c r="F85" i="12" s="1"/>
  <c r="C83" i="12"/>
  <c r="F86" i="12" s="1"/>
  <c r="C84" i="12"/>
  <c r="C85" i="12"/>
  <c r="C86" i="12"/>
  <c r="C87" i="12"/>
  <c r="C88" i="12"/>
  <c r="C89" i="12"/>
  <c r="C90" i="12"/>
  <c r="F93" i="12" s="1"/>
  <c r="C91" i="12"/>
  <c r="F94" i="12" s="1"/>
  <c r="C92" i="12"/>
  <c r="C93" i="12"/>
  <c r="C94" i="12"/>
  <c r="C95" i="12"/>
  <c r="C96" i="12"/>
  <c r="C97" i="12"/>
  <c r="C98" i="12"/>
  <c r="F101" i="12" s="1"/>
  <c r="C99" i="12"/>
  <c r="F102" i="12" s="1"/>
  <c r="C100" i="12"/>
  <c r="C101" i="12"/>
  <c r="C102" i="12"/>
  <c r="C103" i="12"/>
  <c r="C104" i="12"/>
  <c r="C105" i="12"/>
  <c r="C106" i="12"/>
  <c r="F109" i="12" s="1"/>
  <c r="C107" i="12"/>
  <c r="F110" i="12" s="1"/>
  <c r="C108" i="12"/>
  <c r="C109" i="12"/>
  <c r="C110" i="12"/>
  <c r="C111" i="12"/>
  <c r="C112" i="12"/>
  <c r="C113" i="12"/>
  <c r="C114" i="12"/>
  <c r="F117" i="12" s="1"/>
  <c r="C115" i="12"/>
  <c r="F118" i="12" s="1"/>
  <c r="C116" i="12"/>
  <c r="C117" i="12"/>
  <c r="C118" i="12"/>
  <c r="C119" i="12"/>
  <c r="C120" i="12"/>
  <c r="C121" i="12"/>
  <c r="C2" i="12"/>
  <c r="F5" i="12" s="1"/>
  <c r="B3" i="12"/>
  <c r="E6" i="12" s="1"/>
  <c r="B4" i="12"/>
  <c r="B5" i="12"/>
  <c r="B6" i="12"/>
  <c r="B7" i="12"/>
  <c r="B8" i="12"/>
  <c r="B9" i="12"/>
  <c r="B10" i="12"/>
  <c r="B11" i="12"/>
  <c r="E14" i="12" s="1"/>
  <c r="B12" i="12"/>
  <c r="B13" i="12"/>
  <c r="B14" i="12"/>
  <c r="B15" i="12"/>
  <c r="B16" i="12"/>
  <c r="B17" i="12"/>
  <c r="B18" i="12"/>
  <c r="E21" i="12" s="1"/>
  <c r="B19" i="12"/>
  <c r="E22" i="12" s="1"/>
  <c r="B20" i="12"/>
  <c r="B21" i="12"/>
  <c r="B22" i="12"/>
  <c r="B23" i="12"/>
  <c r="B24" i="12"/>
  <c r="B25" i="12"/>
  <c r="B26" i="12"/>
  <c r="E29" i="12" s="1"/>
  <c r="B27" i="12"/>
  <c r="E30" i="12" s="1"/>
  <c r="B28" i="12"/>
  <c r="B29" i="12"/>
  <c r="B30" i="12"/>
  <c r="B31" i="12"/>
  <c r="B32" i="12"/>
  <c r="B33" i="12"/>
  <c r="B34" i="12"/>
  <c r="E37" i="12" s="1"/>
  <c r="B35" i="12"/>
  <c r="E38" i="12" s="1"/>
  <c r="B36" i="12"/>
  <c r="B37" i="12"/>
  <c r="B38" i="12"/>
  <c r="B39" i="12"/>
  <c r="B40" i="12"/>
  <c r="B41" i="12"/>
  <c r="B42" i="12"/>
  <c r="E45" i="12" s="1"/>
  <c r="B43" i="12"/>
  <c r="E46" i="12" s="1"/>
  <c r="B44" i="12"/>
  <c r="B45" i="12"/>
  <c r="B46" i="12"/>
  <c r="B47" i="12"/>
  <c r="B48" i="12"/>
  <c r="B49" i="12"/>
  <c r="B50" i="12"/>
  <c r="B51" i="12"/>
  <c r="E54" i="12" s="1"/>
  <c r="B52" i="12"/>
  <c r="B53" i="12"/>
  <c r="B54" i="12"/>
  <c r="B55" i="12"/>
  <c r="B56" i="12"/>
  <c r="B57" i="12"/>
  <c r="B58" i="12"/>
  <c r="E61" i="12" s="1"/>
  <c r="B59" i="12"/>
  <c r="E62" i="12" s="1"/>
  <c r="B60" i="12"/>
  <c r="B61" i="12"/>
  <c r="B62" i="12"/>
  <c r="B63" i="12"/>
  <c r="B64" i="12"/>
  <c r="B65" i="12"/>
  <c r="B66" i="12"/>
  <c r="B67" i="12"/>
  <c r="E70" i="12" s="1"/>
  <c r="B68" i="12"/>
  <c r="B69" i="12"/>
  <c r="B70" i="12"/>
  <c r="B71" i="12"/>
  <c r="B72" i="12"/>
  <c r="B73" i="12"/>
  <c r="B74" i="12"/>
  <c r="B75" i="12"/>
  <c r="E78" i="12" s="1"/>
  <c r="B76" i="12"/>
  <c r="B77" i="12"/>
  <c r="B78" i="12"/>
  <c r="B79" i="12"/>
  <c r="B80" i="12"/>
  <c r="B81" i="12"/>
  <c r="B82" i="12"/>
  <c r="B83" i="12"/>
  <c r="E86" i="12" s="1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2" i="12"/>
  <c r="E5" i="12" s="1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2" i="12"/>
  <c r="E105" i="12" l="1"/>
  <c r="E89" i="12"/>
  <c r="E81" i="12"/>
  <c r="E57" i="12"/>
  <c r="E49" i="12"/>
  <c r="E41" i="12"/>
  <c r="E33" i="12"/>
  <c r="E25" i="12"/>
  <c r="E17" i="12"/>
  <c r="E9" i="12"/>
  <c r="F121" i="12"/>
  <c r="F113" i="12"/>
  <c r="F105" i="12"/>
  <c r="F97" i="12"/>
  <c r="F89" i="12"/>
  <c r="F81" i="12"/>
  <c r="F73" i="12"/>
  <c r="F65" i="12"/>
  <c r="F57" i="12"/>
  <c r="F49" i="12"/>
  <c r="F41" i="12"/>
  <c r="F33" i="12"/>
  <c r="F25" i="12"/>
  <c r="F17" i="12"/>
  <c r="F9" i="12"/>
  <c r="E113" i="12"/>
  <c r="E97" i="12"/>
  <c r="E65" i="12"/>
  <c r="F8" i="12"/>
  <c r="E121" i="12"/>
  <c r="E73" i="12"/>
  <c r="F14" i="12"/>
  <c r="E117" i="12"/>
  <c r="E101" i="12"/>
  <c r="E93" i="12"/>
  <c r="E77" i="12"/>
  <c r="E69" i="12"/>
  <c r="E13" i="12"/>
  <c r="E109" i="12"/>
  <c r="E85" i="12"/>
  <c r="E116" i="12"/>
  <c r="E108" i="12"/>
  <c r="E92" i="12"/>
  <c r="E84" i="12"/>
  <c r="E76" i="12"/>
  <c r="E68" i="12"/>
  <c r="E44" i="12"/>
  <c r="E36" i="12"/>
  <c r="E28" i="12"/>
  <c r="E20" i="12"/>
  <c r="E12" i="12"/>
  <c r="F116" i="12"/>
  <c r="F108" i="12"/>
  <c r="F100" i="12"/>
  <c r="F92" i="12"/>
  <c r="F84" i="12"/>
  <c r="F76" i="12"/>
  <c r="F68" i="12"/>
  <c r="F60" i="12"/>
  <c r="F52" i="12"/>
  <c r="F44" i="12"/>
  <c r="F36" i="12"/>
  <c r="F28" i="12"/>
  <c r="F20" i="12"/>
  <c r="F12" i="12"/>
  <c r="E60" i="12"/>
  <c r="E100" i="12"/>
  <c r="E52" i="12"/>
  <c r="E80" i="12"/>
  <c r="E72" i="12"/>
  <c r="E64" i="12"/>
  <c r="E32" i="12"/>
  <c r="E24" i="12"/>
  <c r="E16" i="12"/>
  <c r="E8" i="12"/>
  <c r="F120" i="12"/>
  <c r="E15" i="12"/>
  <c r="E7" i="12"/>
  <c r="F119" i="12"/>
  <c r="E53" i="12"/>
  <c r="E115" i="12"/>
  <c r="E107" i="12"/>
  <c r="E99" i="12"/>
  <c r="E91" i="12"/>
  <c r="E83" i="12"/>
  <c r="E75" i="12"/>
  <c r="E67" i="12"/>
  <c r="E59" i="12"/>
  <c r="E51" i="12"/>
  <c r="E43" i="12"/>
  <c r="E35" i="12"/>
  <c r="E27" i="12"/>
  <c r="E19" i="12"/>
  <c r="E11" i="12"/>
  <c r="F115" i="12"/>
  <c r="F107" i="12"/>
  <c r="F99" i="12"/>
  <c r="F91" i="12"/>
  <c r="F83" i="12"/>
  <c r="F75" i="12"/>
  <c r="F67" i="12"/>
  <c r="F59" i="12"/>
  <c r="F51" i="12"/>
  <c r="F43" i="12"/>
  <c r="F35" i="12"/>
  <c r="F27" i="12"/>
  <c r="F19" i="12"/>
  <c r="F11" i="12"/>
  <c r="E122" i="12"/>
  <c r="E114" i="12"/>
  <c r="E106" i="12"/>
  <c r="E98" i="12"/>
  <c r="E90" i="12"/>
  <c r="E82" i="12"/>
  <c r="E74" i="12"/>
  <c r="E66" i="12"/>
  <c r="E58" i="12"/>
  <c r="E50" i="12"/>
  <c r="E42" i="12"/>
  <c r="E34" i="12"/>
  <c r="E26" i="12"/>
  <c r="E18" i="12"/>
  <c r="E10" i="12"/>
  <c r="F122" i="12"/>
  <c r="F114" i="12"/>
  <c r="F106" i="12"/>
  <c r="F98" i="12"/>
  <c r="F90" i="12"/>
  <c r="F82" i="12"/>
  <c r="F74" i="12"/>
  <c r="F66" i="12"/>
  <c r="F58" i="12"/>
  <c r="F50" i="12"/>
  <c r="F42" i="12"/>
  <c r="F34" i="12"/>
  <c r="F26" i="12"/>
  <c r="F18" i="12"/>
  <c r="F10" i="12"/>
  <c r="F42" i="11"/>
  <c r="E120" i="12"/>
  <c r="E112" i="12"/>
  <c r="E104" i="12"/>
  <c r="E96" i="12"/>
  <c r="E88" i="12"/>
  <c r="E56" i="12"/>
  <c r="E48" i="12"/>
  <c r="E40" i="12"/>
  <c r="F112" i="12"/>
  <c r="F104" i="12"/>
  <c r="F96" i="12"/>
  <c r="F88" i="12"/>
  <c r="F80" i="12"/>
  <c r="F72" i="12"/>
  <c r="F64" i="12"/>
  <c r="F56" i="12"/>
  <c r="F48" i="12"/>
  <c r="F40" i="12"/>
  <c r="F32" i="12"/>
  <c r="F24" i="12"/>
  <c r="F16" i="12"/>
  <c r="E119" i="12"/>
  <c r="E111" i="12"/>
  <c r="E103" i="12"/>
  <c r="E95" i="12"/>
  <c r="E87" i="12"/>
  <c r="E79" i="12"/>
  <c r="E71" i="12"/>
  <c r="E63" i="12"/>
  <c r="E55" i="12"/>
  <c r="E47" i="12"/>
  <c r="E39" i="12"/>
  <c r="E31" i="12"/>
  <c r="E23" i="12"/>
  <c r="F111" i="12"/>
  <c r="F103" i="12"/>
  <c r="F95" i="12"/>
  <c r="F87" i="12"/>
  <c r="F79" i="12"/>
  <c r="F71" i="12"/>
  <c r="F63" i="12"/>
  <c r="F55" i="12"/>
  <c r="F47" i="12"/>
  <c r="F39" i="12"/>
  <c r="F31" i="12"/>
  <c r="F23" i="12"/>
  <c r="F15" i="12"/>
  <c r="E118" i="12"/>
  <c r="E110" i="12"/>
  <c r="E102" i="12"/>
  <c r="E94" i="12"/>
  <c r="F1" i="11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" i="8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" i="7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" i="6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" i="5"/>
  <c r="B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H2" i="9" l="1"/>
  <c r="L4" i="10" s="1"/>
  <c r="I2" i="7"/>
  <c r="H5" i="10" s="1"/>
  <c r="I2" i="5"/>
  <c r="F5" i="10" s="1"/>
  <c r="E2" i="9" l="1"/>
  <c r="L2" i="10" s="1"/>
  <c r="I2" i="4"/>
  <c r="B5" i="10" s="1"/>
  <c r="H2" i="7"/>
  <c r="H4" i="10" s="1"/>
  <c r="F2" i="9"/>
  <c r="L3" i="10" s="1"/>
  <c r="H2" i="4"/>
  <c r="B4" i="10" s="1"/>
  <c r="F2" i="5"/>
  <c r="F3" i="10" s="1"/>
  <c r="I2" i="6"/>
  <c r="D5" i="10" s="1"/>
  <c r="E2" i="5"/>
  <c r="F2" i="10" s="1"/>
  <c r="H2" i="6"/>
  <c r="D4" i="10" s="1"/>
  <c r="F2" i="7"/>
  <c r="H3" i="10" s="1"/>
  <c r="I2" i="8"/>
  <c r="J5" i="10" s="1"/>
  <c r="I2" i="9"/>
  <c r="L5" i="10" s="1"/>
  <c r="E2" i="4"/>
  <c r="B2" i="10" s="1"/>
  <c r="H2" i="8"/>
  <c r="J4" i="10" s="1"/>
  <c r="H2" i="5"/>
  <c r="F4" i="10" s="1"/>
  <c r="E2" i="6"/>
  <c r="D2" i="10" s="1"/>
  <c r="F2" i="4"/>
  <c r="B3" i="10" s="1"/>
  <c r="F2" i="6"/>
  <c r="D3" i="10" s="1"/>
  <c r="F2" i="8"/>
  <c r="J3" i="10" s="1"/>
  <c r="E2" i="8"/>
  <c r="E2" i="7"/>
  <c r="K2" i="3"/>
  <c r="J2" i="3"/>
  <c r="H2" i="3"/>
  <c r="G2" i="3"/>
  <c r="AO72" i="1"/>
  <c r="AO71" i="1"/>
  <c r="AO70" i="1"/>
  <c r="AO69" i="1"/>
  <c r="AO68" i="1"/>
  <c r="AO67" i="1"/>
  <c r="AO66" i="1"/>
  <c r="AO65" i="1"/>
  <c r="AO64" i="1"/>
  <c r="AO63" i="1"/>
  <c r="AO62" i="1"/>
  <c r="AO73" i="1"/>
  <c r="AD72" i="1"/>
  <c r="AD71" i="1"/>
  <c r="AD70" i="1"/>
  <c r="AD69" i="1"/>
  <c r="AD68" i="1"/>
  <c r="AD67" i="1"/>
  <c r="AD66" i="1"/>
  <c r="AD65" i="1"/>
  <c r="AD64" i="1"/>
  <c r="AD63" i="1"/>
  <c r="AD62" i="1"/>
  <c r="AD73" i="1"/>
  <c r="C72" i="1"/>
  <c r="C71" i="1"/>
  <c r="C70" i="1"/>
  <c r="C69" i="1"/>
  <c r="C68" i="1"/>
  <c r="C67" i="1"/>
  <c r="C66" i="1"/>
  <c r="C65" i="1"/>
  <c r="C64" i="1"/>
  <c r="C63" i="1"/>
  <c r="C62" i="1"/>
  <c r="C73" i="1"/>
  <c r="D66" i="1"/>
  <c r="C58" i="1"/>
  <c r="C57" i="1"/>
  <c r="C56" i="1"/>
  <c r="C55" i="1"/>
  <c r="C54" i="1"/>
  <c r="C53" i="1"/>
  <c r="C52" i="1"/>
  <c r="C51" i="1"/>
  <c r="C50" i="1"/>
  <c r="C49" i="1"/>
  <c r="C48" i="1"/>
  <c r="C59" i="1"/>
  <c r="D50" i="1"/>
  <c r="B48" i="1"/>
  <c r="B49" i="1"/>
  <c r="B50" i="1"/>
  <c r="B51" i="1"/>
  <c r="B52" i="1"/>
  <c r="B53" i="1"/>
  <c r="B54" i="1"/>
  <c r="B55" i="1"/>
  <c r="B56" i="1"/>
  <c r="B57" i="1"/>
  <c r="B58" i="1"/>
  <c r="B62" i="1"/>
  <c r="S62" i="1" s="1"/>
  <c r="B63" i="1"/>
  <c r="S63" i="1" s="1"/>
  <c r="B64" i="1"/>
  <c r="S64" i="1" s="1"/>
  <c r="B65" i="1"/>
  <c r="S65" i="1" s="1"/>
  <c r="B66" i="1"/>
  <c r="S66" i="1" s="1"/>
  <c r="B67" i="1"/>
  <c r="S67" i="1" s="1"/>
  <c r="B68" i="1"/>
  <c r="S68" i="1" s="1"/>
  <c r="B69" i="1"/>
  <c r="S69" i="1" s="1"/>
  <c r="B70" i="1"/>
  <c r="S70" i="1" s="1"/>
  <c r="B71" i="1"/>
  <c r="S71" i="1" s="1"/>
  <c r="B72" i="1"/>
  <c r="S72" i="1" s="1"/>
  <c r="D57" i="1"/>
  <c r="D56" i="1"/>
  <c r="AP56" i="1"/>
  <c r="AP58" i="1"/>
  <c r="AP50" i="1"/>
  <c r="AP53" i="1"/>
  <c r="AE58" i="1"/>
  <c r="AE56" i="1"/>
  <c r="AE54" i="1"/>
  <c r="AE52" i="1"/>
  <c r="AE50" i="1"/>
  <c r="AE48" i="1"/>
  <c r="AE57" i="1"/>
  <c r="AE55" i="1"/>
  <c r="AE53" i="1"/>
  <c r="AE51" i="1"/>
  <c r="AE49" i="1"/>
  <c r="AE72" i="1"/>
  <c r="AE70" i="1"/>
  <c r="AE68" i="1"/>
  <c r="AE66" i="1"/>
  <c r="AE64" i="1"/>
  <c r="AE62" i="1"/>
  <c r="AE71" i="1"/>
  <c r="AE69" i="1"/>
  <c r="AE67" i="1"/>
  <c r="AE65" i="1"/>
  <c r="AE63" i="1"/>
  <c r="D49" i="1"/>
  <c r="D51" i="1"/>
  <c r="D53" i="1"/>
  <c r="D55" i="1"/>
  <c r="D67" i="1"/>
  <c r="AP52" i="1"/>
  <c r="AP49" i="1"/>
  <c r="AP57" i="1"/>
  <c r="AP54" i="1"/>
  <c r="AP55" i="1"/>
  <c r="AP51" i="1"/>
  <c r="AP48" i="1"/>
  <c r="AP63" i="1"/>
  <c r="AP62" i="1"/>
  <c r="AP72" i="1"/>
  <c r="AP71" i="1"/>
  <c r="AP68" i="1"/>
  <c r="AP66" i="1"/>
  <c r="AP65" i="1"/>
  <c r="AP67" i="1"/>
  <c r="AP70" i="1"/>
  <c r="AP69" i="1"/>
  <c r="AP64" i="1"/>
  <c r="D62" i="1"/>
  <c r="C60" i="1"/>
  <c r="D64" i="1"/>
  <c r="D48" i="1"/>
  <c r="C46" i="1"/>
  <c r="D72" i="1"/>
  <c r="D54" i="1"/>
  <c r="D71" i="1"/>
  <c r="D69" i="1"/>
  <c r="D58" i="1"/>
  <c r="D65" i="1"/>
  <c r="D70" i="1"/>
  <c r="D52" i="1"/>
  <c r="D63" i="1"/>
  <c r="D68" i="1"/>
  <c r="J2" i="10" l="1"/>
  <c r="H2" i="10"/>
  <c r="S73" i="1"/>
  <c r="T67" i="1" l="1"/>
  <c r="T69" i="1"/>
  <c r="T70" i="1"/>
  <c r="T63" i="1"/>
  <c r="T71" i="1"/>
  <c r="T66" i="1"/>
  <c r="T62" i="1"/>
  <c r="T64" i="1"/>
  <c r="T65" i="1"/>
  <c r="T72" i="1"/>
  <c r="T68" i="1"/>
</calcChain>
</file>

<file path=xl/comments1.xml><?xml version="1.0" encoding="utf-8"?>
<comments xmlns="http://schemas.openxmlformats.org/spreadsheetml/2006/main">
  <authors>
    <author>ngeikut</author>
  </authors>
  <commentList>
    <comment ref="A46" authorId="0" shapeId="0">
      <text>
        <r>
          <rPr>
            <b/>
            <sz val="8"/>
            <color indexed="81"/>
            <rFont val="Tahoma"/>
            <family val="2"/>
          </rPr>
          <t xml:space="preserve">Unhide to see calculations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47" authorId="0" shapeId="0">
      <text>
        <r>
          <rPr>
            <b/>
            <sz val="8"/>
            <color indexed="81"/>
            <rFont val="Tahoma"/>
            <family val="2"/>
          </rPr>
          <t>DOT = Distance Off Target. Each block is 1.5 inches. The checker is assumed to be entirely in the block that the center of the checker landed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60" authorId="0" shapeId="0">
      <text>
        <r>
          <rPr>
            <b/>
            <sz val="8"/>
            <color indexed="81"/>
            <rFont val="Tahoma"/>
            <family val="2"/>
          </rPr>
          <t>Unhide to see calculations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<sst xmlns="http://schemas.openxmlformats.org/spreadsheetml/2006/main" count="479" uniqueCount="153">
  <si>
    <t>Y-Axis</t>
  </si>
  <si>
    <t>X-Axis</t>
  </si>
  <si>
    <t>SigmaX =</t>
  </si>
  <si>
    <t>DOT</t>
  </si>
  <si>
    <t>#</t>
  </si>
  <si>
    <t>SD 1</t>
  </si>
  <si>
    <t>SD 2</t>
  </si>
  <si>
    <t>Average</t>
  </si>
  <si>
    <t>SigmaY =</t>
  </si>
  <si>
    <t>Trial</t>
  </si>
  <si>
    <t>x</t>
  </si>
  <si>
    <t>y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</si>
  <si>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</si>
  <si>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</si>
  <si>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</si>
  <si>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</si>
  <si>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</si>
  <si>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</si>
  <si>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</si>
  <si>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</si>
  <si>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</si>
  <si>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</si>
  <si>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</si>
  <si>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</si>
  <si>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</si>
  <si>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</si>
  <si>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</si>
  <si>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</si>
  <si>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</si>
  <si>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</si>
  <si>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</si>
  <si>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</si>
  <si>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</si>
  <si>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</si>
  <si>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</si>
  <si>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</si>
  <si>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</si>
  <si>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</si>
  <si>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</si>
  <si>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</si>
  <si>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</si>
  <si>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</si>
  <si>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</si>
  <si>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</si>
  <si>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</si>
  <si>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</si>
  <si>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</si>
  <si>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</si>
  <si>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</si>
  <si>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</si>
  <si>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</si>
  <si>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</si>
  <si>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</si>
  <si>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</si>
  <si>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</si>
  <si>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</si>
  <si>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</si>
  <si>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</si>
  <si>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</si>
  <si>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</si>
  <si>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</si>
  <si>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</si>
  <si>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</si>
  <si>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</si>
  <si>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</si>
  <si>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</si>
  <si>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</si>
  <si>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</si>
  <si>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</si>
  <si>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</si>
  <si>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</si>
  <si>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</si>
  <si>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</si>
  <si>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</si>
  <si>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</si>
  <si>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</si>
  <si>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</si>
  <si>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</si>
  <si>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</si>
  <si>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</si>
  <si>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</si>
  <si>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</si>
  <si>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</si>
  <si>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</si>
  <si>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</si>
  <si>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</si>
  <si>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</si>
  <si>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</si>
  <si>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</si>
  <si>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</si>
  <si>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</si>
  <si>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</si>
  <si>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</si>
  <si>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</si>
  <si>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</si>
  <si>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</si>
  <si>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</si>
  <si>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</si>
  <si>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</si>
  <si>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</si>
  <si>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</si>
  <si>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</si>
  <si>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</si>
  <si>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</si>
  <si>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</si>
  <si>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</si>
  <si>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</si>
  <si>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</si>
  <si>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</si>
  <si>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</si>
  <si>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</si>
  <si>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</si>
  <si>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</si>
  <si>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</si>
  <si>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</si>
  <si>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</si>
  <si>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</si>
  <si>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</si>
  <si>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</si>
  <si>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</si>
  <si>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</si>
  <si>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</si>
  <si>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</si>
  <si>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</si>
  <si>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</si>
  <si>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</si>
  <si>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</si>
  <si>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</si>
  <si>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</si>
  <si>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</si>
  <si>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</si>
  <si>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</si>
  <si>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Std X</t>
  </si>
  <si>
    <t>Std Y</t>
  </si>
  <si>
    <t>Mean X</t>
  </si>
  <si>
    <t>Mean Y</t>
  </si>
  <si>
    <t>Brett</t>
  </si>
  <si>
    <t>Mary</t>
  </si>
  <si>
    <t>Anthony</t>
  </si>
  <si>
    <t>Todd</t>
  </si>
  <si>
    <t>Hunter</t>
  </si>
  <si>
    <t>Emily</t>
  </si>
  <si>
    <t>X</t>
  </si>
  <si>
    <t>Y</t>
  </si>
  <si>
    <t>X Average</t>
  </si>
  <si>
    <t>X Upper Control Limit</t>
  </si>
  <si>
    <t>Y Average</t>
  </si>
  <si>
    <t>Y Upper Control Limit</t>
  </si>
  <si>
    <t>Moving Average X</t>
  </si>
  <si>
    <t>Moving Average Y</t>
  </si>
  <si>
    <t>X Lower Control Limit</t>
  </si>
  <si>
    <t>Average X</t>
  </si>
  <si>
    <t>Average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</si>
</sst>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color indexed="9"/>
      <name val="Arial"/>
      <family val="2"/>
    </font>
    <font>
      <sz val="20"/>
      <color indexed="9"/>
      <name val="Arial"/>
      <family val="2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/>
    <xf numFmtId="0" fontId="1" fillId="0" borderId="0"/>
  </cellStyleXfs>
  <cellXfs count="48">
    <xf numFmtId="0" fontId="0" fillId="0" borderId="0" xfId="0"/>
    <xf numFmtId="0" fontId="2" fillId="2" borderId="0" xfId="0" applyFont="1" applyFill="1"/>
    <xf numFmtId="0" fontId="2" fillId="2" borderId="0" xfId="0" applyFont="1" applyFill="1" applyBorder="1"/>
    <xf numFmtId="0" fontId="4" fillId="3" borderId="1" xfId="0" applyFont="1" applyFill="1" applyBorder="1"/>
    <xf numFmtId="0" fontId="4" fillId="3" borderId="2" xfId="0" applyFont="1" applyFill="1" applyBorder="1"/>
    <xf numFmtId="0" fontId="0" fillId="0" borderId="9" xfId="0" applyBorder="1"/>
    <xf numFmtId="0" fontId="0" fillId="4" borderId="0" xfId="0" applyFill="1"/>
    <xf numFmtId="0" fontId="0" fillId="3" borderId="0" xfId="0" applyFill="1"/>
    <xf numFmtId="0" fontId="0" fillId="4" borderId="9" xfId="0" applyFill="1" applyBorder="1"/>
    <xf numFmtId="0" fontId="0" fillId="4" borderId="6" xfId="0" applyFill="1" applyBorder="1"/>
    <xf numFmtId="0" fontId="0" fillId="4" borderId="8" xfId="0" applyFill="1" applyBorder="1"/>
    <xf numFmtId="0" fontId="0" fillId="4" borderId="10" xfId="0" applyFill="1" applyBorder="1"/>
    <xf numFmtId="0" fontId="0" fillId="4" borderId="13" xfId="0" applyFill="1" applyBorder="1"/>
    <xf numFmtId="0" fontId="0" fillId="3" borderId="0" xfId="0" applyFill="1" applyAlignment="1">
      <alignment horizontal="center"/>
    </xf>
    <xf numFmtId="0" fontId="0" fillId="4" borderId="14" xfId="0" applyFill="1" applyBorder="1" applyAlignment="1">
      <alignment horizontal="left"/>
    </xf>
    <xf numFmtId="0" fontId="0" fillId="4" borderId="15" xfId="0" applyFill="1" applyBorder="1"/>
    <xf numFmtId="0" fontId="0" fillId="4" borderId="15" xfId="0" applyFill="1" applyBorder="1" applyAlignment="1">
      <alignment horizontal="center"/>
    </xf>
    <xf numFmtId="0" fontId="0" fillId="4" borderId="16" xfId="0" applyFill="1" applyBorder="1" applyAlignment="1"/>
    <xf numFmtId="0" fontId="7" fillId="0" borderId="21" xfId="0" applyFont="1" applyBorder="1" applyAlignment="1">
      <alignment wrapText="1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4" fillId="3" borderId="3" xfId="0" applyFont="1" applyFill="1" applyBorder="1" applyProtection="1">
      <protection locked="0"/>
    </xf>
    <xf numFmtId="0" fontId="4" fillId="3" borderId="7" xfId="0" applyFont="1" applyFill="1" applyBorder="1" applyProtection="1">
      <protection locked="0"/>
    </xf>
    <xf numFmtId="0" fontId="1" fillId="0" borderId="0" xfId="1"/>
    <xf numFmtId="0" fontId="7" fillId="0" borderId="21" xfId="1" applyFont="1" applyBorder="1" applyAlignment="1">
      <alignment wrapText="1"/>
    </xf>
    <xf numFmtId="0" fontId="1" fillId="0" borderId="9" xfId="1" applyBorder="1"/>
    <xf numFmtId="0" fontId="9" fillId="0" borderId="0" xfId="0" applyFont="1"/>
    <xf numFmtId="0" fontId="9" fillId="0" borderId="0" xfId="0" applyFont="1" applyAlignment="1">
      <alignment wrapText="1"/>
    </xf>
    <xf numFmtId="0" fontId="3" fillId="2" borderId="19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0" fillId="0" borderId="20" xfId="0" applyBorder="1" applyAlignment="1"/>
    <xf numFmtId="0" fontId="3" fillId="2" borderId="17" xfId="0" applyFont="1" applyFill="1" applyBorder="1" applyAlignment="1">
      <alignment horizontal="center" vertical="center" textRotation="90"/>
    </xf>
    <xf numFmtId="0" fontId="3" fillId="2" borderId="18" xfId="0" applyFont="1" applyFill="1" applyBorder="1" applyAlignment="1">
      <alignment horizontal="center" vertical="center" textRotation="90"/>
    </xf>
    <xf numFmtId="0" fontId="0" fillId="0" borderId="18" xfId="0" applyBorder="1" applyAlignment="1">
      <alignment horizontal="center" vertical="center" textRotation="90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3" borderId="0" xfId="0" applyFill="1" applyAlignment="1">
      <alignment horizontal="center"/>
    </xf>
    <xf numFmtId="0" fontId="0" fillId="4" borderId="11" xfId="0" applyFill="1" applyBorder="1" applyAlignment="1"/>
    <xf numFmtId="0" fontId="0" fillId="4" borderId="12" xfId="0" applyFill="1" applyBorder="1" applyAlignment="1"/>
    <xf numFmtId="0" fontId="0" fillId="4" borderId="4" xfId="0" applyFill="1" applyBorder="1" applyAlignment="1">
      <alignment horizontal="left"/>
    </xf>
    <xf numFmtId="0" fontId="0" fillId="4" borderId="5" xfId="0" applyFill="1" applyBorder="1" applyAlignment="1">
      <alignment horizontal="left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styles" Target="styles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5</a:t>
            </a:r>
          </a:p>
        </c:rich>
      </c:tx>
      <c:layout>
        <c:manualLayout>
          <c:xMode val="edge"/>
          <c:yMode val="edge"/>
          <c:x val="0.43840174978127733"/>
          <c:y val="1.9575892316443369E-2"/>
        </c:manualLayout>
      </c:layout>
      <c:overlay val="0"/>
      <c:spPr>
        <a:noFill/>
        <a:ln w="25400">
          <a:noFill/>
        </a:ln>
      </c:spPr>
    </c:title>
    <c:autoTitleDeleted val="0"/>
    <c:view3D>
      <c:rotX val="30"/>
      <c:hPercent val="100"/>
      <c:rotY val="70"/>
      <c:depthPercent val="100"/>
      <c:rAngAx val="0"/>
    </c:view3D>
    <c:floor>
      <c:thickness val="0"/>
      <c:spPr>
        <a:solidFill>
          <a:srgbClr val="00000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gradFill rotWithShape="0">
          <a:gsLst>
            <a:gs pos="0">
              <a:srgbClr val="FF0000"/>
            </a:gs>
            <a:gs pos="100000">
              <a:srgbClr val="00000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sideWall>
    <c:backWall>
      <c:thickness val="0"/>
      <c:spPr>
        <a:gradFill rotWithShape="0">
          <a:gsLst>
            <a:gs pos="0">
              <a:srgbClr val="FF0000"/>
            </a:gs>
            <a:gs pos="100000">
              <a:srgbClr val="00000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3.662597114317425E-2"/>
          <c:y val="0.10277324632952692"/>
          <c:w val="0.8057713651498335"/>
          <c:h val="0.81239804241435565"/>
        </c:manualLayout>
      </c:layout>
      <c:bar3DChart>
        <c:barDir val="col"/>
        <c:grouping val="standard"/>
        <c:varyColors val="0"/>
        <c:ser>
          <c:idx val="0"/>
          <c:order val="0"/>
          <c:tx>
            <c:v>-10</c:v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'Enter Data Here'!$B$3:$B$43</c:f>
              <c:numCache>
                <c:formatCode>General</c:formatCode>
                <c:ptCount val="41"/>
                <c:pt idx="0">
                  <c:v>10</c:v>
                </c:pt>
                <c:pt idx="1">
                  <c:v>9.5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7.5</c:v>
                </c:pt>
                <c:pt idx="6">
                  <c:v>7</c:v>
                </c:pt>
                <c:pt idx="7">
                  <c:v>6.5</c:v>
                </c:pt>
                <c:pt idx="8">
                  <c:v>6</c:v>
                </c:pt>
                <c:pt idx="9">
                  <c:v>5.5</c:v>
                </c:pt>
                <c:pt idx="10">
                  <c:v>5</c:v>
                </c:pt>
                <c:pt idx="11">
                  <c:v>4.5</c:v>
                </c:pt>
                <c:pt idx="12">
                  <c:v>4</c:v>
                </c:pt>
                <c:pt idx="13">
                  <c:v>3.5</c:v>
                </c:pt>
                <c:pt idx="14">
                  <c:v>3</c:v>
                </c:pt>
                <c:pt idx="15">
                  <c:v>2.5</c:v>
                </c:pt>
                <c:pt idx="16">
                  <c:v>2</c:v>
                </c:pt>
                <c:pt idx="17">
                  <c:v>1.5</c:v>
                </c:pt>
                <c:pt idx="18">
                  <c:v>1</c:v>
                </c:pt>
                <c:pt idx="19">
                  <c:v>0.5</c:v>
                </c:pt>
                <c:pt idx="20">
                  <c:v>0</c:v>
                </c:pt>
                <c:pt idx="21">
                  <c:v>-0.5</c:v>
                </c:pt>
                <c:pt idx="22">
                  <c:v>-1</c:v>
                </c:pt>
                <c:pt idx="23">
                  <c:v>-1.5</c:v>
                </c:pt>
                <c:pt idx="24">
                  <c:v>-2</c:v>
                </c:pt>
                <c:pt idx="25">
                  <c:v>-2.5</c:v>
                </c:pt>
                <c:pt idx="26">
                  <c:v>-3</c:v>
                </c:pt>
                <c:pt idx="27">
                  <c:v>-3.5</c:v>
                </c:pt>
                <c:pt idx="28">
                  <c:v>-4</c:v>
                </c:pt>
                <c:pt idx="29">
                  <c:v>-4.5</c:v>
                </c:pt>
                <c:pt idx="30">
                  <c:v>-5</c:v>
                </c:pt>
                <c:pt idx="31">
                  <c:v>-5.5</c:v>
                </c:pt>
                <c:pt idx="32">
                  <c:v>-6</c:v>
                </c:pt>
                <c:pt idx="33">
                  <c:v>-6.5</c:v>
                </c:pt>
                <c:pt idx="34">
                  <c:v>-7</c:v>
                </c:pt>
                <c:pt idx="35">
                  <c:v>-7.5</c:v>
                </c:pt>
                <c:pt idx="36">
                  <c:v>-8</c:v>
                </c:pt>
                <c:pt idx="37">
                  <c:v>-8.5</c:v>
                </c:pt>
                <c:pt idx="38">
                  <c:v>-9</c:v>
                </c:pt>
                <c:pt idx="39">
                  <c:v>-9.5</c:v>
                </c:pt>
                <c:pt idx="40">
                  <c:v>-10</c:v>
                </c:pt>
              </c:numCache>
            </c:numRef>
          </c:cat>
          <c:val>
            <c:numRef>
              <c:f>'Enter Data Here'!$C$3:$C$43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89-4741-A683-7B805A97FC4C}"/>
            </c:ext>
          </c:extLst>
        </c:ser>
        <c:ser>
          <c:idx val="1"/>
          <c:order val="1"/>
          <c:tx>
            <c:v>-9.5</c:v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'Enter Data Here'!$B$3:$B$43</c:f>
              <c:numCache>
                <c:formatCode>General</c:formatCode>
                <c:ptCount val="41"/>
                <c:pt idx="0">
                  <c:v>10</c:v>
                </c:pt>
                <c:pt idx="1">
                  <c:v>9.5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7.5</c:v>
                </c:pt>
                <c:pt idx="6">
                  <c:v>7</c:v>
                </c:pt>
                <c:pt idx="7">
                  <c:v>6.5</c:v>
                </c:pt>
                <c:pt idx="8">
                  <c:v>6</c:v>
                </c:pt>
                <c:pt idx="9">
                  <c:v>5.5</c:v>
                </c:pt>
                <c:pt idx="10">
                  <c:v>5</c:v>
                </c:pt>
                <c:pt idx="11">
                  <c:v>4.5</c:v>
                </c:pt>
                <c:pt idx="12">
                  <c:v>4</c:v>
                </c:pt>
                <c:pt idx="13">
                  <c:v>3.5</c:v>
                </c:pt>
                <c:pt idx="14">
                  <c:v>3</c:v>
                </c:pt>
                <c:pt idx="15">
                  <c:v>2.5</c:v>
                </c:pt>
                <c:pt idx="16">
                  <c:v>2</c:v>
                </c:pt>
                <c:pt idx="17">
                  <c:v>1.5</c:v>
                </c:pt>
                <c:pt idx="18">
                  <c:v>1</c:v>
                </c:pt>
                <c:pt idx="19">
                  <c:v>0.5</c:v>
                </c:pt>
                <c:pt idx="20">
                  <c:v>0</c:v>
                </c:pt>
                <c:pt idx="21">
                  <c:v>-0.5</c:v>
                </c:pt>
                <c:pt idx="22">
                  <c:v>-1</c:v>
                </c:pt>
                <c:pt idx="23">
                  <c:v>-1.5</c:v>
                </c:pt>
                <c:pt idx="24">
                  <c:v>-2</c:v>
                </c:pt>
                <c:pt idx="25">
                  <c:v>-2.5</c:v>
                </c:pt>
                <c:pt idx="26">
                  <c:v>-3</c:v>
                </c:pt>
                <c:pt idx="27">
                  <c:v>-3.5</c:v>
                </c:pt>
                <c:pt idx="28">
                  <c:v>-4</c:v>
                </c:pt>
                <c:pt idx="29">
                  <c:v>-4.5</c:v>
                </c:pt>
                <c:pt idx="30">
                  <c:v>-5</c:v>
                </c:pt>
                <c:pt idx="31">
                  <c:v>-5.5</c:v>
                </c:pt>
                <c:pt idx="32">
                  <c:v>-6</c:v>
                </c:pt>
                <c:pt idx="33">
                  <c:v>-6.5</c:v>
                </c:pt>
                <c:pt idx="34">
                  <c:v>-7</c:v>
                </c:pt>
                <c:pt idx="35">
                  <c:v>-7.5</c:v>
                </c:pt>
                <c:pt idx="36">
                  <c:v>-8</c:v>
                </c:pt>
                <c:pt idx="37">
                  <c:v>-8.5</c:v>
                </c:pt>
                <c:pt idx="38">
                  <c:v>-9</c:v>
                </c:pt>
                <c:pt idx="39">
                  <c:v>-9.5</c:v>
                </c:pt>
                <c:pt idx="40">
                  <c:v>-10</c:v>
                </c:pt>
              </c:numCache>
            </c:numRef>
          </c:cat>
          <c:val>
            <c:numRef>
              <c:f>'Enter Data Here'!$D$3:$D$43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89-4741-A683-7B805A97FC4C}"/>
            </c:ext>
          </c:extLst>
        </c:ser>
        <c:ser>
          <c:idx val="2"/>
          <c:order val="2"/>
          <c:tx>
            <c:v>-9</c:v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'Enter Data Here'!$B$3:$B$43</c:f>
              <c:numCache>
                <c:formatCode>General</c:formatCode>
                <c:ptCount val="41"/>
                <c:pt idx="0">
                  <c:v>10</c:v>
                </c:pt>
                <c:pt idx="1">
                  <c:v>9.5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7.5</c:v>
                </c:pt>
                <c:pt idx="6">
                  <c:v>7</c:v>
                </c:pt>
                <c:pt idx="7">
                  <c:v>6.5</c:v>
                </c:pt>
                <c:pt idx="8">
                  <c:v>6</c:v>
                </c:pt>
                <c:pt idx="9">
                  <c:v>5.5</c:v>
                </c:pt>
                <c:pt idx="10">
                  <c:v>5</c:v>
                </c:pt>
                <c:pt idx="11">
                  <c:v>4.5</c:v>
                </c:pt>
                <c:pt idx="12">
                  <c:v>4</c:v>
                </c:pt>
                <c:pt idx="13">
                  <c:v>3.5</c:v>
                </c:pt>
                <c:pt idx="14">
                  <c:v>3</c:v>
                </c:pt>
                <c:pt idx="15">
                  <c:v>2.5</c:v>
                </c:pt>
                <c:pt idx="16">
                  <c:v>2</c:v>
                </c:pt>
                <c:pt idx="17">
                  <c:v>1.5</c:v>
                </c:pt>
                <c:pt idx="18">
                  <c:v>1</c:v>
                </c:pt>
                <c:pt idx="19">
                  <c:v>0.5</c:v>
                </c:pt>
                <c:pt idx="20">
                  <c:v>0</c:v>
                </c:pt>
                <c:pt idx="21">
                  <c:v>-0.5</c:v>
                </c:pt>
                <c:pt idx="22">
                  <c:v>-1</c:v>
                </c:pt>
                <c:pt idx="23">
                  <c:v>-1.5</c:v>
                </c:pt>
                <c:pt idx="24">
                  <c:v>-2</c:v>
                </c:pt>
                <c:pt idx="25">
                  <c:v>-2.5</c:v>
                </c:pt>
                <c:pt idx="26">
                  <c:v>-3</c:v>
                </c:pt>
                <c:pt idx="27">
                  <c:v>-3.5</c:v>
                </c:pt>
                <c:pt idx="28">
                  <c:v>-4</c:v>
                </c:pt>
                <c:pt idx="29">
                  <c:v>-4.5</c:v>
                </c:pt>
                <c:pt idx="30">
                  <c:v>-5</c:v>
                </c:pt>
                <c:pt idx="31">
                  <c:v>-5.5</c:v>
                </c:pt>
                <c:pt idx="32">
                  <c:v>-6</c:v>
                </c:pt>
                <c:pt idx="33">
                  <c:v>-6.5</c:v>
                </c:pt>
                <c:pt idx="34">
                  <c:v>-7</c:v>
                </c:pt>
                <c:pt idx="35">
                  <c:v>-7.5</c:v>
                </c:pt>
                <c:pt idx="36">
                  <c:v>-8</c:v>
                </c:pt>
                <c:pt idx="37">
                  <c:v>-8.5</c:v>
                </c:pt>
                <c:pt idx="38">
                  <c:v>-9</c:v>
                </c:pt>
                <c:pt idx="39">
                  <c:v>-9.5</c:v>
                </c:pt>
                <c:pt idx="40">
                  <c:v>-10</c:v>
                </c:pt>
              </c:numCache>
            </c:numRef>
          </c:cat>
          <c:val>
            <c:numRef>
              <c:f>'Enter Data Here'!$E$3:$E$43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89-4741-A683-7B805A97FC4C}"/>
            </c:ext>
          </c:extLst>
        </c:ser>
        <c:ser>
          <c:idx val="3"/>
          <c:order val="3"/>
          <c:tx>
            <c:v>-8.5</c:v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'Enter Data Here'!$B$3:$B$43</c:f>
              <c:numCache>
                <c:formatCode>General</c:formatCode>
                <c:ptCount val="41"/>
                <c:pt idx="0">
                  <c:v>10</c:v>
                </c:pt>
                <c:pt idx="1">
                  <c:v>9.5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7.5</c:v>
                </c:pt>
                <c:pt idx="6">
                  <c:v>7</c:v>
                </c:pt>
                <c:pt idx="7">
                  <c:v>6.5</c:v>
                </c:pt>
                <c:pt idx="8">
                  <c:v>6</c:v>
                </c:pt>
                <c:pt idx="9">
                  <c:v>5.5</c:v>
                </c:pt>
                <c:pt idx="10">
                  <c:v>5</c:v>
                </c:pt>
                <c:pt idx="11">
                  <c:v>4.5</c:v>
                </c:pt>
                <c:pt idx="12">
                  <c:v>4</c:v>
                </c:pt>
                <c:pt idx="13">
                  <c:v>3.5</c:v>
                </c:pt>
                <c:pt idx="14">
                  <c:v>3</c:v>
                </c:pt>
                <c:pt idx="15">
                  <c:v>2.5</c:v>
                </c:pt>
                <c:pt idx="16">
                  <c:v>2</c:v>
                </c:pt>
                <c:pt idx="17">
                  <c:v>1.5</c:v>
                </c:pt>
                <c:pt idx="18">
                  <c:v>1</c:v>
                </c:pt>
                <c:pt idx="19">
                  <c:v>0.5</c:v>
                </c:pt>
                <c:pt idx="20">
                  <c:v>0</c:v>
                </c:pt>
                <c:pt idx="21">
                  <c:v>-0.5</c:v>
                </c:pt>
                <c:pt idx="22">
                  <c:v>-1</c:v>
                </c:pt>
                <c:pt idx="23">
                  <c:v>-1.5</c:v>
                </c:pt>
                <c:pt idx="24">
                  <c:v>-2</c:v>
                </c:pt>
                <c:pt idx="25">
                  <c:v>-2.5</c:v>
                </c:pt>
                <c:pt idx="26">
                  <c:v>-3</c:v>
                </c:pt>
                <c:pt idx="27">
                  <c:v>-3.5</c:v>
                </c:pt>
                <c:pt idx="28">
                  <c:v>-4</c:v>
                </c:pt>
                <c:pt idx="29">
                  <c:v>-4.5</c:v>
                </c:pt>
                <c:pt idx="30">
                  <c:v>-5</c:v>
                </c:pt>
                <c:pt idx="31">
                  <c:v>-5.5</c:v>
                </c:pt>
                <c:pt idx="32">
                  <c:v>-6</c:v>
                </c:pt>
                <c:pt idx="33">
                  <c:v>-6.5</c:v>
                </c:pt>
                <c:pt idx="34">
                  <c:v>-7</c:v>
                </c:pt>
                <c:pt idx="35">
                  <c:v>-7.5</c:v>
                </c:pt>
                <c:pt idx="36">
                  <c:v>-8</c:v>
                </c:pt>
                <c:pt idx="37">
                  <c:v>-8.5</c:v>
                </c:pt>
                <c:pt idx="38">
                  <c:v>-9</c:v>
                </c:pt>
                <c:pt idx="39">
                  <c:v>-9.5</c:v>
                </c:pt>
                <c:pt idx="40">
                  <c:v>-10</c:v>
                </c:pt>
              </c:numCache>
            </c:numRef>
          </c:cat>
          <c:val>
            <c:numRef>
              <c:f>'Enter Data Here'!$F$3:$F$43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89-4741-A683-7B805A97FC4C}"/>
            </c:ext>
          </c:extLst>
        </c:ser>
        <c:ser>
          <c:idx val="4"/>
          <c:order val="4"/>
          <c:tx>
            <c:v>-8</c:v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'Enter Data Here'!$B$3:$B$43</c:f>
              <c:numCache>
                <c:formatCode>General</c:formatCode>
                <c:ptCount val="41"/>
                <c:pt idx="0">
                  <c:v>10</c:v>
                </c:pt>
                <c:pt idx="1">
                  <c:v>9.5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7.5</c:v>
                </c:pt>
                <c:pt idx="6">
                  <c:v>7</c:v>
                </c:pt>
                <c:pt idx="7">
                  <c:v>6.5</c:v>
                </c:pt>
                <c:pt idx="8">
                  <c:v>6</c:v>
                </c:pt>
                <c:pt idx="9">
                  <c:v>5.5</c:v>
                </c:pt>
                <c:pt idx="10">
                  <c:v>5</c:v>
                </c:pt>
                <c:pt idx="11">
                  <c:v>4.5</c:v>
                </c:pt>
                <c:pt idx="12">
                  <c:v>4</c:v>
                </c:pt>
                <c:pt idx="13">
                  <c:v>3.5</c:v>
                </c:pt>
                <c:pt idx="14">
                  <c:v>3</c:v>
                </c:pt>
                <c:pt idx="15">
                  <c:v>2.5</c:v>
                </c:pt>
                <c:pt idx="16">
                  <c:v>2</c:v>
                </c:pt>
                <c:pt idx="17">
                  <c:v>1.5</c:v>
                </c:pt>
                <c:pt idx="18">
                  <c:v>1</c:v>
                </c:pt>
                <c:pt idx="19">
                  <c:v>0.5</c:v>
                </c:pt>
                <c:pt idx="20">
                  <c:v>0</c:v>
                </c:pt>
                <c:pt idx="21">
                  <c:v>-0.5</c:v>
                </c:pt>
                <c:pt idx="22">
                  <c:v>-1</c:v>
                </c:pt>
                <c:pt idx="23">
                  <c:v>-1.5</c:v>
                </c:pt>
                <c:pt idx="24">
                  <c:v>-2</c:v>
                </c:pt>
                <c:pt idx="25">
                  <c:v>-2.5</c:v>
                </c:pt>
                <c:pt idx="26">
                  <c:v>-3</c:v>
                </c:pt>
                <c:pt idx="27">
                  <c:v>-3.5</c:v>
                </c:pt>
                <c:pt idx="28">
                  <c:v>-4</c:v>
                </c:pt>
                <c:pt idx="29">
                  <c:v>-4.5</c:v>
                </c:pt>
                <c:pt idx="30">
                  <c:v>-5</c:v>
                </c:pt>
                <c:pt idx="31">
                  <c:v>-5.5</c:v>
                </c:pt>
                <c:pt idx="32">
                  <c:v>-6</c:v>
                </c:pt>
                <c:pt idx="33">
                  <c:v>-6.5</c:v>
                </c:pt>
                <c:pt idx="34">
                  <c:v>-7</c:v>
                </c:pt>
                <c:pt idx="35">
                  <c:v>-7.5</c:v>
                </c:pt>
                <c:pt idx="36">
                  <c:v>-8</c:v>
                </c:pt>
                <c:pt idx="37">
                  <c:v>-8.5</c:v>
                </c:pt>
                <c:pt idx="38">
                  <c:v>-9</c:v>
                </c:pt>
                <c:pt idx="39">
                  <c:v>-9.5</c:v>
                </c:pt>
                <c:pt idx="40">
                  <c:v>-10</c:v>
                </c:pt>
              </c:numCache>
            </c:numRef>
          </c:cat>
          <c:val>
            <c:numRef>
              <c:f>'Enter Data Here'!$G$3:$G$43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89-4741-A683-7B805A97FC4C}"/>
            </c:ext>
          </c:extLst>
        </c:ser>
        <c:ser>
          <c:idx val="5"/>
          <c:order val="5"/>
          <c:tx>
            <c:v>-7.5</c:v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'Enter Data Here'!$B$3:$B$43</c:f>
              <c:numCache>
                <c:formatCode>General</c:formatCode>
                <c:ptCount val="41"/>
                <c:pt idx="0">
                  <c:v>10</c:v>
                </c:pt>
                <c:pt idx="1">
                  <c:v>9.5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7.5</c:v>
                </c:pt>
                <c:pt idx="6">
                  <c:v>7</c:v>
                </c:pt>
                <c:pt idx="7">
                  <c:v>6.5</c:v>
                </c:pt>
                <c:pt idx="8">
                  <c:v>6</c:v>
                </c:pt>
                <c:pt idx="9">
                  <c:v>5.5</c:v>
                </c:pt>
                <c:pt idx="10">
                  <c:v>5</c:v>
                </c:pt>
                <c:pt idx="11">
                  <c:v>4.5</c:v>
                </c:pt>
                <c:pt idx="12">
                  <c:v>4</c:v>
                </c:pt>
                <c:pt idx="13">
                  <c:v>3.5</c:v>
                </c:pt>
                <c:pt idx="14">
                  <c:v>3</c:v>
                </c:pt>
                <c:pt idx="15">
                  <c:v>2.5</c:v>
                </c:pt>
                <c:pt idx="16">
                  <c:v>2</c:v>
                </c:pt>
                <c:pt idx="17">
                  <c:v>1.5</c:v>
                </c:pt>
                <c:pt idx="18">
                  <c:v>1</c:v>
                </c:pt>
                <c:pt idx="19">
                  <c:v>0.5</c:v>
                </c:pt>
                <c:pt idx="20">
                  <c:v>0</c:v>
                </c:pt>
                <c:pt idx="21">
                  <c:v>-0.5</c:v>
                </c:pt>
                <c:pt idx="22">
                  <c:v>-1</c:v>
                </c:pt>
                <c:pt idx="23">
                  <c:v>-1.5</c:v>
                </c:pt>
                <c:pt idx="24">
                  <c:v>-2</c:v>
                </c:pt>
                <c:pt idx="25">
                  <c:v>-2.5</c:v>
                </c:pt>
                <c:pt idx="26">
                  <c:v>-3</c:v>
                </c:pt>
                <c:pt idx="27">
                  <c:v>-3.5</c:v>
                </c:pt>
                <c:pt idx="28">
                  <c:v>-4</c:v>
                </c:pt>
                <c:pt idx="29">
                  <c:v>-4.5</c:v>
                </c:pt>
                <c:pt idx="30">
                  <c:v>-5</c:v>
                </c:pt>
                <c:pt idx="31">
                  <c:v>-5.5</c:v>
                </c:pt>
                <c:pt idx="32">
                  <c:v>-6</c:v>
                </c:pt>
                <c:pt idx="33">
                  <c:v>-6.5</c:v>
                </c:pt>
                <c:pt idx="34">
                  <c:v>-7</c:v>
                </c:pt>
                <c:pt idx="35">
                  <c:v>-7.5</c:v>
                </c:pt>
                <c:pt idx="36">
                  <c:v>-8</c:v>
                </c:pt>
                <c:pt idx="37">
                  <c:v>-8.5</c:v>
                </c:pt>
                <c:pt idx="38">
                  <c:v>-9</c:v>
                </c:pt>
                <c:pt idx="39">
                  <c:v>-9.5</c:v>
                </c:pt>
                <c:pt idx="40">
                  <c:v>-10</c:v>
                </c:pt>
              </c:numCache>
            </c:numRef>
          </c:cat>
          <c:val>
            <c:numRef>
              <c:f>'Enter Data Here'!$H$3:$H$43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89-4741-A683-7B805A97FC4C}"/>
            </c:ext>
          </c:extLst>
        </c:ser>
        <c:ser>
          <c:idx val="6"/>
          <c:order val="6"/>
          <c:tx>
            <c:v>-7</c:v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'Enter Data Here'!$B$3:$B$43</c:f>
              <c:numCache>
                <c:formatCode>General</c:formatCode>
                <c:ptCount val="41"/>
                <c:pt idx="0">
                  <c:v>10</c:v>
                </c:pt>
                <c:pt idx="1">
                  <c:v>9.5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7.5</c:v>
                </c:pt>
                <c:pt idx="6">
                  <c:v>7</c:v>
                </c:pt>
                <c:pt idx="7">
                  <c:v>6.5</c:v>
                </c:pt>
                <c:pt idx="8">
                  <c:v>6</c:v>
                </c:pt>
                <c:pt idx="9">
                  <c:v>5.5</c:v>
                </c:pt>
                <c:pt idx="10">
                  <c:v>5</c:v>
                </c:pt>
                <c:pt idx="11">
                  <c:v>4.5</c:v>
                </c:pt>
                <c:pt idx="12">
                  <c:v>4</c:v>
                </c:pt>
                <c:pt idx="13">
                  <c:v>3.5</c:v>
                </c:pt>
                <c:pt idx="14">
                  <c:v>3</c:v>
                </c:pt>
                <c:pt idx="15">
                  <c:v>2.5</c:v>
                </c:pt>
                <c:pt idx="16">
                  <c:v>2</c:v>
                </c:pt>
                <c:pt idx="17">
                  <c:v>1.5</c:v>
                </c:pt>
                <c:pt idx="18">
                  <c:v>1</c:v>
                </c:pt>
                <c:pt idx="19">
                  <c:v>0.5</c:v>
                </c:pt>
                <c:pt idx="20">
                  <c:v>0</c:v>
                </c:pt>
                <c:pt idx="21">
                  <c:v>-0.5</c:v>
                </c:pt>
                <c:pt idx="22">
                  <c:v>-1</c:v>
                </c:pt>
                <c:pt idx="23">
                  <c:v>-1.5</c:v>
                </c:pt>
                <c:pt idx="24">
                  <c:v>-2</c:v>
                </c:pt>
                <c:pt idx="25">
                  <c:v>-2.5</c:v>
                </c:pt>
                <c:pt idx="26">
                  <c:v>-3</c:v>
                </c:pt>
                <c:pt idx="27">
                  <c:v>-3.5</c:v>
                </c:pt>
                <c:pt idx="28">
                  <c:v>-4</c:v>
                </c:pt>
                <c:pt idx="29">
                  <c:v>-4.5</c:v>
                </c:pt>
                <c:pt idx="30">
                  <c:v>-5</c:v>
                </c:pt>
                <c:pt idx="31">
                  <c:v>-5.5</c:v>
                </c:pt>
                <c:pt idx="32">
                  <c:v>-6</c:v>
                </c:pt>
                <c:pt idx="33">
                  <c:v>-6.5</c:v>
                </c:pt>
                <c:pt idx="34">
                  <c:v>-7</c:v>
                </c:pt>
                <c:pt idx="35">
                  <c:v>-7.5</c:v>
                </c:pt>
                <c:pt idx="36">
                  <c:v>-8</c:v>
                </c:pt>
                <c:pt idx="37">
                  <c:v>-8.5</c:v>
                </c:pt>
                <c:pt idx="38">
                  <c:v>-9</c:v>
                </c:pt>
                <c:pt idx="39">
                  <c:v>-9.5</c:v>
                </c:pt>
                <c:pt idx="40">
                  <c:v>-10</c:v>
                </c:pt>
              </c:numCache>
            </c:numRef>
          </c:cat>
          <c:val>
            <c:numRef>
              <c:f>'Enter Data Here'!$I$3:$I$43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B89-4741-A683-7B805A97FC4C}"/>
            </c:ext>
          </c:extLst>
        </c:ser>
        <c:ser>
          <c:idx val="7"/>
          <c:order val="7"/>
          <c:tx>
            <c:v>-6.5</c:v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'Enter Data Here'!$B$3:$B$43</c:f>
              <c:numCache>
                <c:formatCode>General</c:formatCode>
                <c:ptCount val="41"/>
                <c:pt idx="0">
                  <c:v>10</c:v>
                </c:pt>
                <c:pt idx="1">
                  <c:v>9.5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7.5</c:v>
                </c:pt>
                <c:pt idx="6">
                  <c:v>7</c:v>
                </c:pt>
                <c:pt idx="7">
                  <c:v>6.5</c:v>
                </c:pt>
                <c:pt idx="8">
                  <c:v>6</c:v>
                </c:pt>
                <c:pt idx="9">
                  <c:v>5.5</c:v>
                </c:pt>
                <c:pt idx="10">
                  <c:v>5</c:v>
                </c:pt>
                <c:pt idx="11">
                  <c:v>4.5</c:v>
                </c:pt>
                <c:pt idx="12">
                  <c:v>4</c:v>
                </c:pt>
                <c:pt idx="13">
                  <c:v>3.5</c:v>
                </c:pt>
                <c:pt idx="14">
                  <c:v>3</c:v>
                </c:pt>
                <c:pt idx="15">
                  <c:v>2.5</c:v>
                </c:pt>
                <c:pt idx="16">
                  <c:v>2</c:v>
                </c:pt>
                <c:pt idx="17">
                  <c:v>1.5</c:v>
                </c:pt>
                <c:pt idx="18">
                  <c:v>1</c:v>
                </c:pt>
                <c:pt idx="19">
                  <c:v>0.5</c:v>
                </c:pt>
                <c:pt idx="20">
                  <c:v>0</c:v>
                </c:pt>
                <c:pt idx="21">
                  <c:v>-0.5</c:v>
                </c:pt>
                <c:pt idx="22">
                  <c:v>-1</c:v>
                </c:pt>
                <c:pt idx="23">
                  <c:v>-1.5</c:v>
                </c:pt>
                <c:pt idx="24">
                  <c:v>-2</c:v>
                </c:pt>
                <c:pt idx="25">
                  <c:v>-2.5</c:v>
                </c:pt>
                <c:pt idx="26">
                  <c:v>-3</c:v>
                </c:pt>
                <c:pt idx="27">
                  <c:v>-3.5</c:v>
                </c:pt>
                <c:pt idx="28">
                  <c:v>-4</c:v>
                </c:pt>
                <c:pt idx="29">
                  <c:v>-4.5</c:v>
                </c:pt>
                <c:pt idx="30">
                  <c:v>-5</c:v>
                </c:pt>
                <c:pt idx="31">
                  <c:v>-5.5</c:v>
                </c:pt>
                <c:pt idx="32">
                  <c:v>-6</c:v>
                </c:pt>
                <c:pt idx="33">
                  <c:v>-6.5</c:v>
                </c:pt>
                <c:pt idx="34">
                  <c:v>-7</c:v>
                </c:pt>
                <c:pt idx="35">
                  <c:v>-7.5</c:v>
                </c:pt>
                <c:pt idx="36">
                  <c:v>-8</c:v>
                </c:pt>
                <c:pt idx="37">
                  <c:v>-8.5</c:v>
                </c:pt>
                <c:pt idx="38">
                  <c:v>-9</c:v>
                </c:pt>
                <c:pt idx="39">
                  <c:v>-9.5</c:v>
                </c:pt>
                <c:pt idx="40">
                  <c:v>-10</c:v>
                </c:pt>
              </c:numCache>
            </c:numRef>
          </c:cat>
          <c:val>
            <c:numRef>
              <c:f>'Enter Data Here'!$J$3:$J$43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B89-4741-A683-7B805A97FC4C}"/>
            </c:ext>
          </c:extLst>
        </c:ser>
        <c:ser>
          <c:idx val="8"/>
          <c:order val="8"/>
          <c:tx>
            <c:v>-6</c:v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'Enter Data Here'!$B$3:$B$43</c:f>
              <c:numCache>
                <c:formatCode>General</c:formatCode>
                <c:ptCount val="41"/>
                <c:pt idx="0">
                  <c:v>10</c:v>
                </c:pt>
                <c:pt idx="1">
                  <c:v>9.5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7.5</c:v>
                </c:pt>
                <c:pt idx="6">
                  <c:v>7</c:v>
                </c:pt>
                <c:pt idx="7">
                  <c:v>6.5</c:v>
                </c:pt>
                <c:pt idx="8">
                  <c:v>6</c:v>
                </c:pt>
                <c:pt idx="9">
                  <c:v>5.5</c:v>
                </c:pt>
                <c:pt idx="10">
                  <c:v>5</c:v>
                </c:pt>
                <c:pt idx="11">
                  <c:v>4.5</c:v>
                </c:pt>
                <c:pt idx="12">
                  <c:v>4</c:v>
                </c:pt>
                <c:pt idx="13">
                  <c:v>3.5</c:v>
                </c:pt>
                <c:pt idx="14">
                  <c:v>3</c:v>
                </c:pt>
                <c:pt idx="15">
                  <c:v>2.5</c:v>
                </c:pt>
                <c:pt idx="16">
                  <c:v>2</c:v>
                </c:pt>
                <c:pt idx="17">
                  <c:v>1.5</c:v>
                </c:pt>
                <c:pt idx="18">
                  <c:v>1</c:v>
                </c:pt>
                <c:pt idx="19">
                  <c:v>0.5</c:v>
                </c:pt>
                <c:pt idx="20">
                  <c:v>0</c:v>
                </c:pt>
                <c:pt idx="21">
                  <c:v>-0.5</c:v>
                </c:pt>
                <c:pt idx="22">
                  <c:v>-1</c:v>
                </c:pt>
                <c:pt idx="23">
                  <c:v>-1.5</c:v>
                </c:pt>
                <c:pt idx="24">
                  <c:v>-2</c:v>
                </c:pt>
                <c:pt idx="25">
                  <c:v>-2.5</c:v>
                </c:pt>
                <c:pt idx="26">
                  <c:v>-3</c:v>
                </c:pt>
                <c:pt idx="27">
                  <c:v>-3.5</c:v>
                </c:pt>
                <c:pt idx="28">
                  <c:v>-4</c:v>
                </c:pt>
                <c:pt idx="29">
                  <c:v>-4.5</c:v>
                </c:pt>
                <c:pt idx="30">
                  <c:v>-5</c:v>
                </c:pt>
                <c:pt idx="31">
                  <c:v>-5.5</c:v>
                </c:pt>
                <c:pt idx="32">
                  <c:v>-6</c:v>
                </c:pt>
                <c:pt idx="33">
                  <c:v>-6.5</c:v>
                </c:pt>
                <c:pt idx="34">
                  <c:v>-7</c:v>
                </c:pt>
                <c:pt idx="35">
                  <c:v>-7.5</c:v>
                </c:pt>
                <c:pt idx="36">
                  <c:v>-8</c:v>
                </c:pt>
                <c:pt idx="37">
                  <c:v>-8.5</c:v>
                </c:pt>
                <c:pt idx="38">
                  <c:v>-9</c:v>
                </c:pt>
                <c:pt idx="39">
                  <c:v>-9.5</c:v>
                </c:pt>
                <c:pt idx="40">
                  <c:v>-10</c:v>
                </c:pt>
              </c:numCache>
            </c:numRef>
          </c:cat>
          <c:val>
            <c:numRef>
              <c:f>'Enter Data Here'!$K$3:$K$43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B89-4741-A683-7B805A97FC4C}"/>
            </c:ext>
          </c:extLst>
        </c:ser>
        <c:ser>
          <c:idx val="9"/>
          <c:order val="9"/>
          <c:tx>
            <c:v>-5.5</c:v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'Enter Data Here'!$B$3:$B$43</c:f>
              <c:numCache>
                <c:formatCode>General</c:formatCode>
                <c:ptCount val="41"/>
                <c:pt idx="0">
                  <c:v>10</c:v>
                </c:pt>
                <c:pt idx="1">
                  <c:v>9.5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7.5</c:v>
                </c:pt>
                <c:pt idx="6">
                  <c:v>7</c:v>
                </c:pt>
                <c:pt idx="7">
                  <c:v>6.5</c:v>
                </c:pt>
                <c:pt idx="8">
                  <c:v>6</c:v>
                </c:pt>
                <c:pt idx="9">
                  <c:v>5.5</c:v>
                </c:pt>
                <c:pt idx="10">
                  <c:v>5</c:v>
                </c:pt>
                <c:pt idx="11">
                  <c:v>4.5</c:v>
                </c:pt>
                <c:pt idx="12">
                  <c:v>4</c:v>
                </c:pt>
                <c:pt idx="13">
                  <c:v>3.5</c:v>
                </c:pt>
                <c:pt idx="14">
                  <c:v>3</c:v>
                </c:pt>
                <c:pt idx="15">
                  <c:v>2.5</c:v>
                </c:pt>
                <c:pt idx="16">
                  <c:v>2</c:v>
                </c:pt>
                <c:pt idx="17">
                  <c:v>1.5</c:v>
                </c:pt>
                <c:pt idx="18">
                  <c:v>1</c:v>
                </c:pt>
                <c:pt idx="19">
                  <c:v>0.5</c:v>
                </c:pt>
                <c:pt idx="20">
                  <c:v>0</c:v>
                </c:pt>
                <c:pt idx="21">
                  <c:v>-0.5</c:v>
                </c:pt>
                <c:pt idx="22">
                  <c:v>-1</c:v>
                </c:pt>
                <c:pt idx="23">
                  <c:v>-1.5</c:v>
                </c:pt>
                <c:pt idx="24">
                  <c:v>-2</c:v>
                </c:pt>
                <c:pt idx="25">
                  <c:v>-2.5</c:v>
                </c:pt>
                <c:pt idx="26">
                  <c:v>-3</c:v>
                </c:pt>
                <c:pt idx="27">
                  <c:v>-3.5</c:v>
                </c:pt>
                <c:pt idx="28">
                  <c:v>-4</c:v>
                </c:pt>
                <c:pt idx="29">
                  <c:v>-4.5</c:v>
                </c:pt>
                <c:pt idx="30">
                  <c:v>-5</c:v>
                </c:pt>
                <c:pt idx="31">
                  <c:v>-5.5</c:v>
                </c:pt>
                <c:pt idx="32">
                  <c:v>-6</c:v>
                </c:pt>
                <c:pt idx="33">
                  <c:v>-6.5</c:v>
                </c:pt>
                <c:pt idx="34">
                  <c:v>-7</c:v>
                </c:pt>
                <c:pt idx="35">
                  <c:v>-7.5</c:v>
                </c:pt>
                <c:pt idx="36">
                  <c:v>-8</c:v>
                </c:pt>
                <c:pt idx="37">
                  <c:v>-8.5</c:v>
                </c:pt>
                <c:pt idx="38">
                  <c:v>-9</c:v>
                </c:pt>
                <c:pt idx="39">
                  <c:v>-9.5</c:v>
                </c:pt>
                <c:pt idx="40">
                  <c:v>-10</c:v>
                </c:pt>
              </c:numCache>
            </c:numRef>
          </c:cat>
          <c:val>
            <c:numRef>
              <c:f>'Enter Data Here'!$L$3:$L$43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B89-4741-A683-7B805A97FC4C}"/>
            </c:ext>
          </c:extLst>
        </c:ser>
        <c:ser>
          <c:idx val="10"/>
          <c:order val="10"/>
          <c:tx>
            <c:v>-5</c:v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'Enter Data Here'!$B$3:$B$43</c:f>
              <c:numCache>
                <c:formatCode>General</c:formatCode>
                <c:ptCount val="41"/>
                <c:pt idx="0">
                  <c:v>10</c:v>
                </c:pt>
                <c:pt idx="1">
                  <c:v>9.5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7.5</c:v>
                </c:pt>
                <c:pt idx="6">
                  <c:v>7</c:v>
                </c:pt>
                <c:pt idx="7">
                  <c:v>6.5</c:v>
                </c:pt>
                <c:pt idx="8">
                  <c:v>6</c:v>
                </c:pt>
                <c:pt idx="9">
                  <c:v>5.5</c:v>
                </c:pt>
                <c:pt idx="10">
                  <c:v>5</c:v>
                </c:pt>
                <c:pt idx="11">
                  <c:v>4.5</c:v>
                </c:pt>
                <c:pt idx="12">
                  <c:v>4</c:v>
                </c:pt>
                <c:pt idx="13">
                  <c:v>3.5</c:v>
                </c:pt>
                <c:pt idx="14">
                  <c:v>3</c:v>
                </c:pt>
                <c:pt idx="15">
                  <c:v>2.5</c:v>
                </c:pt>
                <c:pt idx="16">
                  <c:v>2</c:v>
                </c:pt>
                <c:pt idx="17">
                  <c:v>1.5</c:v>
                </c:pt>
                <c:pt idx="18">
                  <c:v>1</c:v>
                </c:pt>
                <c:pt idx="19">
                  <c:v>0.5</c:v>
                </c:pt>
                <c:pt idx="20">
                  <c:v>0</c:v>
                </c:pt>
                <c:pt idx="21">
                  <c:v>-0.5</c:v>
                </c:pt>
                <c:pt idx="22">
                  <c:v>-1</c:v>
                </c:pt>
                <c:pt idx="23">
                  <c:v>-1.5</c:v>
                </c:pt>
                <c:pt idx="24">
                  <c:v>-2</c:v>
                </c:pt>
                <c:pt idx="25">
                  <c:v>-2.5</c:v>
                </c:pt>
                <c:pt idx="26">
                  <c:v>-3</c:v>
                </c:pt>
                <c:pt idx="27">
                  <c:v>-3.5</c:v>
                </c:pt>
                <c:pt idx="28">
                  <c:v>-4</c:v>
                </c:pt>
                <c:pt idx="29">
                  <c:v>-4.5</c:v>
                </c:pt>
                <c:pt idx="30">
                  <c:v>-5</c:v>
                </c:pt>
                <c:pt idx="31">
                  <c:v>-5.5</c:v>
                </c:pt>
                <c:pt idx="32">
                  <c:v>-6</c:v>
                </c:pt>
                <c:pt idx="33">
                  <c:v>-6.5</c:v>
                </c:pt>
                <c:pt idx="34">
                  <c:v>-7</c:v>
                </c:pt>
                <c:pt idx="35">
                  <c:v>-7.5</c:v>
                </c:pt>
                <c:pt idx="36">
                  <c:v>-8</c:v>
                </c:pt>
                <c:pt idx="37">
                  <c:v>-8.5</c:v>
                </c:pt>
                <c:pt idx="38">
                  <c:v>-9</c:v>
                </c:pt>
                <c:pt idx="39">
                  <c:v>-9.5</c:v>
                </c:pt>
                <c:pt idx="40">
                  <c:v>-10</c:v>
                </c:pt>
              </c:numCache>
            </c:numRef>
          </c:cat>
          <c:val>
            <c:numRef>
              <c:f>'Enter Data Here'!$M$3:$M$43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B89-4741-A683-7B805A97FC4C}"/>
            </c:ext>
          </c:extLst>
        </c:ser>
        <c:ser>
          <c:idx val="11"/>
          <c:order val="11"/>
          <c:tx>
            <c:v>-4.5</c:v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numRef>
              <c:f>'Enter Data Here'!$B$3:$B$43</c:f>
              <c:numCache>
                <c:formatCode>General</c:formatCode>
                <c:ptCount val="41"/>
                <c:pt idx="0">
                  <c:v>10</c:v>
                </c:pt>
                <c:pt idx="1">
                  <c:v>9.5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7.5</c:v>
                </c:pt>
                <c:pt idx="6">
                  <c:v>7</c:v>
                </c:pt>
                <c:pt idx="7">
                  <c:v>6.5</c:v>
                </c:pt>
                <c:pt idx="8">
                  <c:v>6</c:v>
                </c:pt>
                <c:pt idx="9">
                  <c:v>5.5</c:v>
                </c:pt>
                <c:pt idx="10">
                  <c:v>5</c:v>
                </c:pt>
                <c:pt idx="11">
                  <c:v>4.5</c:v>
                </c:pt>
                <c:pt idx="12">
                  <c:v>4</c:v>
                </c:pt>
                <c:pt idx="13">
                  <c:v>3.5</c:v>
                </c:pt>
                <c:pt idx="14">
                  <c:v>3</c:v>
                </c:pt>
                <c:pt idx="15">
                  <c:v>2.5</c:v>
                </c:pt>
                <c:pt idx="16">
                  <c:v>2</c:v>
                </c:pt>
                <c:pt idx="17">
                  <c:v>1.5</c:v>
                </c:pt>
                <c:pt idx="18">
                  <c:v>1</c:v>
                </c:pt>
                <c:pt idx="19">
                  <c:v>0.5</c:v>
                </c:pt>
                <c:pt idx="20">
                  <c:v>0</c:v>
                </c:pt>
                <c:pt idx="21">
                  <c:v>-0.5</c:v>
                </c:pt>
                <c:pt idx="22">
                  <c:v>-1</c:v>
                </c:pt>
                <c:pt idx="23">
                  <c:v>-1.5</c:v>
                </c:pt>
                <c:pt idx="24">
                  <c:v>-2</c:v>
                </c:pt>
                <c:pt idx="25">
                  <c:v>-2.5</c:v>
                </c:pt>
                <c:pt idx="26">
                  <c:v>-3</c:v>
                </c:pt>
                <c:pt idx="27">
                  <c:v>-3.5</c:v>
                </c:pt>
                <c:pt idx="28">
                  <c:v>-4</c:v>
                </c:pt>
                <c:pt idx="29">
                  <c:v>-4.5</c:v>
                </c:pt>
                <c:pt idx="30">
                  <c:v>-5</c:v>
                </c:pt>
                <c:pt idx="31">
                  <c:v>-5.5</c:v>
                </c:pt>
                <c:pt idx="32">
                  <c:v>-6</c:v>
                </c:pt>
                <c:pt idx="33">
                  <c:v>-6.5</c:v>
                </c:pt>
                <c:pt idx="34">
                  <c:v>-7</c:v>
                </c:pt>
                <c:pt idx="35">
                  <c:v>-7.5</c:v>
                </c:pt>
                <c:pt idx="36">
                  <c:v>-8</c:v>
                </c:pt>
                <c:pt idx="37">
                  <c:v>-8.5</c:v>
                </c:pt>
                <c:pt idx="38">
                  <c:v>-9</c:v>
                </c:pt>
                <c:pt idx="39">
                  <c:v>-9.5</c:v>
                </c:pt>
                <c:pt idx="40">
                  <c:v>-10</c:v>
                </c:pt>
              </c:numCache>
            </c:numRef>
          </c:cat>
          <c:val>
            <c:numRef>
              <c:f>'Enter Data Here'!$N$3:$N$43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3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B89-4741-A683-7B805A97FC4C}"/>
            </c:ext>
          </c:extLst>
        </c:ser>
        <c:ser>
          <c:idx val="12"/>
          <c:order val="12"/>
          <c:tx>
            <c:v>-4</c:v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numRef>
              <c:f>'Enter Data Here'!$B$3:$B$43</c:f>
              <c:numCache>
                <c:formatCode>General</c:formatCode>
                <c:ptCount val="41"/>
                <c:pt idx="0">
                  <c:v>10</c:v>
                </c:pt>
                <c:pt idx="1">
                  <c:v>9.5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7.5</c:v>
                </c:pt>
                <c:pt idx="6">
                  <c:v>7</c:v>
                </c:pt>
                <c:pt idx="7">
                  <c:v>6.5</c:v>
                </c:pt>
                <c:pt idx="8">
                  <c:v>6</c:v>
                </c:pt>
                <c:pt idx="9">
                  <c:v>5.5</c:v>
                </c:pt>
                <c:pt idx="10">
                  <c:v>5</c:v>
                </c:pt>
                <c:pt idx="11">
                  <c:v>4.5</c:v>
                </c:pt>
                <c:pt idx="12">
                  <c:v>4</c:v>
                </c:pt>
                <c:pt idx="13">
                  <c:v>3.5</c:v>
                </c:pt>
                <c:pt idx="14">
                  <c:v>3</c:v>
                </c:pt>
                <c:pt idx="15">
                  <c:v>2.5</c:v>
                </c:pt>
                <c:pt idx="16">
                  <c:v>2</c:v>
                </c:pt>
                <c:pt idx="17">
                  <c:v>1.5</c:v>
                </c:pt>
                <c:pt idx="18">
                  <c:v>1</c:v>
                </c:pt>
                <c:pt idx="19">
                  <c:v>0.5</c:v>
                </c:pt>
                <c:pt idx="20">
                  <c:v>0</c:v>
                </c:pt>
                <c:pt idx="21">
                  <c:v>-0.5</c:v>
                </c:pt>
                <c:pt idx="22">
                  <c:v>-1</c:v>
                </c:pt>
                <c:pt idx="23">
                  <c:v>-1.5</c:v>
                </c:pt>
                <c:pt idx="24">
                  <c:v>-2</c:v>
                </c:pt>
                <c:pt idx="25">
                  <c:v>-2.5</c:v>
                </c:pt>
                <c:pt idx="26">
                  <c:v>-3</c:v>
                </c:pt>
                <c:pt idx="27">
                  <c:v>-3.5</c:v>
                </c:pt>
                <c:pt idx="28">
                  <c:v>-4</c:v>
                </c:pt>
                <c:pt idx="29">
                  <c:v>-4.5</c:v>
                </c:pt>
                <c:pt idx="30">
                  <c:v>-5</c:v>
                </c:pt>
                <c:pt idx="31">
                  <c:v>-5.5</c:v>
                </c:pt>
                <c:pt idx="32">
                  <c:v>-6</c:v>
                </c:pt>
                <c:pt idx="33">
                  <c:v>-6.5</c:v>
                </c:pt>
                <c:pt idx="34">
                  <c:v>-7</c:v>
                </c:pt>
                <c:pt idx="35">
                  <c:v>-7.5</c:v>
                </c:pt>
                <c:pt idx="36">
                  <c:v>-8</c:v>
                </c:pt>
                <c:pt idx="37">
                  <c:v>-8.5</c:v>
                </c:pt>
                <c:pt idx="38">
                  <c:v>-9</c:v>
                </c:pt>
                <c:pt idx="39">
                  <c:v>-9.5</c:v>
                </c:pt>
                <c:pt idx="40">
                  <c:v>-10</c:v>
                </c:pt>
              </c:numCache>
            </c:numRef>
          </c:cat>
          <c:val>
            <c:numRef>
              <c:f>'Enter Data Here'!$O$3:$O$43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B89-4741-A683-7B805A97FC4C}"/>
            </c:ext>
          </c:extLst>
        </c:ser>
        <c:ser>
          <c:idx val="13"/>
          <c:order val="13"/>
          <c:tx>
            <c:v>-3.5</c:v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numRef>
              <c:f>'Enter Data Here'!$B$3:$B$43</c:f>
              <c:numCache>
                <c:formatCode>General</c:formatCode>
                <c:ptCount val="41"/>
                <c:pt idx="0">
                  <c:v>10</c:v>
                </c:pt>
                <c:pt idx="1">
                  <c:v>9.5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7.5</c:v>
                </c:pt>
                <c:pt idx="6">
                  <c:v>7</c:v>
                </c:pt>
                <c:pt idx="7">
                  <c:v>6.5</c:v>
                </c:pt>
                <c:pt idx="8">
                  <c:v>6</c:v>
                </c:pt>
                <c:pt idx="9">
                  <c:v>5.5</c:v>
                </c:pt>
                <c:pt idx="10">
                  <c:v>5</c:v>
                </c:pt>
                <c:pt idx="11">
                  <c:v>4.5</c:v>
                </c:pt>
                <c:pt idx="12">
                  <c:v>4</c:v>
                </c:pt>
                <c:pt idx="13">
                  <c:v>3.5</c:v>
                </c:pt>
                <c:pt idx="14">
                  <c:v>3</c:v>
                </c:pt>
                <c:pt idx="15">
                  <c:v>2.5</c:v>
                </c:pt>
                <c:pt idx="16">
                  <c:v>2</c:v>
                </c:pt>
                <c:pt idx="17">
                  <c:v>1.5</c:v>
                </c:pt>
                <c:pt idx="18">
                  <c:v>1</c:v>
                </c:pt>
                <c:pt idx="19">
                  <c:v>0.5</c:v>
                </c:pt>
                <c:pt idx="20">
                  <c:v>0</c:v>
                </c:pt>
                <c:pt idx="21">
                  <c:v>-0.5</c:v>
                </c:pt>
                <c:pt idx="22">
                  <c:v>-1</c:v>
                </c:pt>
                <c:pt idx="23">
                  <c:v>-1.5</c:v>
                </c:pt>
                <c:pt idx="24">
                  <c:v>-2</c:v>
                </c:pt>
                <c:pt idx="25">
                  <c:v>-2.5</c:v>
                </c:pt>
                <c:pt idx="26">
                  <c:v>-3</c:v>
                </c:pt>
                <c:pt idx="27">
                  <c:v>-3.5</c:v>
                </c:pt>
                <c:pt idx="28">
                  <c:v>-4</c:v>
                </c:pt>
                <c:pt idx="29">
                  <c:v>-4.5</c:v>
                </c:pt>
                <c:pt idx="30">
                  <c:v>-5</c:v>
                </c:pt>
                <c:pt idx="31">
                  <c:v>-5.5</c:v>
                </c:pt>
                <c:pt idx="32">
                  <c:v>-6</c:v>
                </c:pt>
                <c:pt idx="33">
                  <c:v>-6.5</c:v>
                </c:pt>
                <c:pt idx="34">
                  <c:v>-7</c:v>
                </c:pt>
                <c:pt idx="35">
                  <c:v>-7.5</c:v>
                </c:pt>
                <c:pt idx="36">
                  <c:v>-8</c:v>
                </c:pt>
                <c:pt idx="37">
                  <c:v>-8.5</c:v>
                </c:pt>
                <c:pt idx="38">
                  <c:v>-9</c:v>
                </c:pt>
                <c:pt idx="39">
                  <c:v>-9.5</c:v>
                </c:pt>
                <c:pt idx="40">
                  <c:v>-10</c:v>
                </c:pt>
              </c:numCache>
            </c:numRef>
          </c:cat>
          <c:val>
            <c:numRef>
              <c:f>'Enter Data Here'!$P$3:$P$43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B89-4741-A683-7B805A97FC4C}"/>
            </c:ext>
          </c:extLst>
        </c:ser>
        <c:ser>
          <c:idx val="14"/>
          <c:order val="14"/>
          <c:tx>
            <c:v>-3</c:v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numRef>
              <c:f>'Enter Data Here'!$B$3:$B$43</c:f>
              <c:numCache>
                <c:formatCode>General</c:formatCode>
                <c:ptCount val="41"/>
                <c:pt idx="0">
                  <c:v>10</c:v>
                </c:pt>
                <c:pt idx="1">
                  <c:v>9.5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7.5</c:v>
                </c:pt>
                <c:pt idx="6">
                  <c:v>7</c:v>
                </c:pt>
                <c:pt idx="7">
                  <c:v>6.5</c:v>
                </c:pt>
                <c:pt idx="8">
                  <c:v>6</c:v>
                </c:pt>
                <c:pt idx="9">
                  <c:v>5.5</c:v>
                </c:pt>
                <c:pt idx="10">
                  <c:v>5</c:v>
                </c:pt>
                <c:pt idx="11">
                  <c:v>4.5</c:v>
                </c:pt>
                <c:pt idx="12">
                  <c:v>4</c:v>
                </c:pt>
                <c:pt idx="13">
                  <c:v>3.5</c:v>
                </c:pt>
                <c:pt idx="14">
                  <c:v>3</c:v>
                </c:pt>
                <c:pt idx="15">
                  <c:v>2.5</c:v>
                </c:pt>
                <c:pt idx="16">
                  <c:v>2</c:v>
                </c:pt>
                <c:pt idx="17">
                  <c:v>1.5</c:v>
                </c:pt>
                <c:pt idx="18">
                  <c:v>1</c:v>
                </c:pt>
                <c:pt idx="19">
                  <c:v>0.5</c:v>
                </c:pt>
                <c:pt idx="20">
                  <c:v>0</c:v>
                </c:pt>
                <c:pt idx="21">
                  <c:v>-0.5</c:v>
                </c:pt>
                <c:pt idx="22">
                  <c:v>-1</c:v>
                </c:pt>
                <c:pt idx="23">
                  <c:v>-1.5</c:v>
                </c:pt>
                <c:pt idx="24">
                  <c:v>-2</c:v>
                </c:pt>
                <c:pt idx="25">
                  <c:v>-2.5</c:v>
                </c:pt>
                <c:pt idx="26">
                  <c:v>-3</c:v>
                </c:pt>
                <c:pt idx="27">
                  <c:v>-3.5</c:v>
                </c:pt>
                <c:pt idx="28">
                  <c:v>-4</c:v>
                </c:pt>
                <c:pt idx="29">
                  <c:v>-4.5</c:v>
                </c:pt>
                <c:pt idx="30">
                  <c:v>-5</c:v>
                </c:pt>
                <c:pt idx="31">
                  <c:v>-5.5</c:v>
                </c:pt>
                <c:pt idx="32">
                  <c:v>-6</c:v>
                </c:pt>
                <c:pt idx="33">
                  <c:v>-6.5</c:v>
                </c:pt>
                <c:pt idx="34">
                  <c:v>-7</c:v>
                </c:pt>
                <c:pt idx="35">
                  <c:v>-7.5</c:v>
                </c:pt>
                <c:pt idx="36">
                  <c:v>-8</c:v>
                </c:pt>
                <c:pt idx="37">
                  <c:v>-8.5</c:v>
                </c:pt>
                <c:pt idx="38">
                  <c:v>-9</c:v>
                </c:pt>
                <c:pt idx="39">
                  <c:v>-9.5</c:v>
                </c:pt>
                <c:pt idx="40">
                  <c:v>-10</c:v>
                </c:pt>
              </c:numCache>
            </c:numRef>
          </c:cat>
          <c:val>
            <c:numRef>
              <c:f>'Enter Data Here'!$Q$3:$Q$43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2</c:v>
                </c:pt>
                <c:pt idx="20">
                  <c:v>7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B89-4741-A683-7B805A97FC4C}"/>
            </c:ext>
          </c:extLst>
        </c:ser>
        <c:ser>
          <c:idx val="15"/>
          <c:order val="15"/>
          <c:tx>
            <c:v>-2.5</c:v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numRef>
              <c:f>'Enter Data Here'!$B$3:$B$43</c:f>
              <c:numCache>
                <c:formatCode>General</c:formatCode>
                <c:ptCount val="41"/>
                <c:pt idx="0">
                  <c:v>10</c:v>
                </c:pt>
                <c:pt idx="1">
                  <c:v>9.5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7.5</c:v>
                </c:pt>
                <c:pt idx="6">
                  <c:v>7</c:v>
                </c:pt>
                <c:pt idx="7">
                  <c:v>6.5</c:v>
                </c:pt>
                <c:pt idx="8">
                  <c:v>6</c:v>
                </c:pt>
                <c:pt idx="9">
                  <c:v>5.5</c:v>
                </c:pt>
                <c:pt idx="10">
                  <c:v>5</c:v>
                </c:pt>
                <c:pt idx="11">
                  <c:v>4.5</c:v>
                </c:pt>
                <c:pt idx="12">
                  <c:v>4</c:v>
                </c:pt>
                <c:pt idx="13">
                  <c:v>3.5</c:v>
                </c:pt>
                <c:pt idx="14">
                  <c:v>3</c:v>
                </c:pt>
                <c:pt idx="15">
                  <c:v>2.5</c:v>
                </c:pt>
                <c:pt idx="16">
                  <c:v>2</c:v>
                </c:pt>
                <c:pt idx="17">
                  <c:v>1.5</c:v>
                </c:pt>
                <c:pt idx="18">
                  <c:v>1</c:v>
                </c:pt>
                <c:pt idx="19">
                  <c:v>0.5</c:v>
                </c:pt>
                <c:pt idx="20">
                  <c:v>0</c:v>
                </c:pt>
                <c:pt idx="21">
                  <c:v>-0.5</c:v>
                </c:pt>
                <c:pt idx="22">
                  <c:v>-1</c:v>
                </c:pt>
                <c:pt idx="23">
                  <c:v>-1.5</c:v>
                </c:pt>
                <c:pt idx="24">
                  <c:v>-2</c:v>
                </c:pt>
                <c:pt idx="25">
                  <c:v>-2.5</c:v>
                </c:pt>
                <c:pt idx="26">
                  <c:v>-3</c:v>
                </c:pt>
                <c:pt idx="27">
                  <c:v>-3.5</c:v>
                </c:pt>
                <c:pt idx="28">
                  <c:v>-4</c:v>
                </c:pt>
                <c:pt idx="29">
                  <c:v>-4.5</c:v>
                </c:pt>
                <c:pt idx="30">
                  <c:v>-5</c:v>
                </c:pt>
                <c:pt idx="31">
                  <c:v>-5.5</c:v>
                </c:pt>
                <c:pt idx="32">
                  <c:v>-6</c:v>
                </c:pt>
                <c:pt idx="33">
                  <c:v>-6.5</c:v>
                </c:pt>
                <c:pt idx="34">
                  <c:v>-7</c:v>
                </c:pt>
                <c:pt idx="35">
                  <c:v>-7.5</c:v>
                </c:pt>
                <c:pt idx="36">
                  <c:v>-8</c:v>
                </c:pt>
                <c:pt idx="37">
                  <c:v>-8.5</c:v>
                </c:pt>
                <c:pt idx="38">
                  <c:v>-9</c:v>
                </c:pt>
                <c:pt idx="39">
                  <c:v>-9.5</c:v>
                </c:pt>
                <c:pt idx="40">
                  <c:v>-10</c:v>
                </c:pt>
              </c:numCache>
            </c:numRef>
          </c:cat>
          <c:val>
            <c:numRef>
              <c:f>'Enter Data Here'!$R$3:$R$43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3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B89-4741-A683-7B805A97FC4C}"/>
            </c:ext>
          </c:extLst>
        </c:ser>
        <c:ser>
          <c:idx val="16"/>
          <c:order val="16"/>
          <c:tx>
            <c:v>-2</c:v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numRef>
              <c:f>'Enter Data Here'!$B$3:$B$43</c:f>
              <c:numCache>
                <c:formatCode>General</c:formatCode>
                <c:ptCount val="41"/>
                <c:pt idx="0">
                  <c:v>10</c:v>
                </c:pt>
                <c:pt idx="1">
                  <c:v>9.5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7.5</c:v>
                </c:pt>
                <c:pt idx="6">
                  <c:v>7</c:v>
                </c:pt>
                <c:pt idx="7">
                  <c:v>6.5</c:v>
                </c:pt>
                <c:pt idx="8">
                  <c:v>6</c:v>
                </c:pt>
                <c:pt idx="9">
                  <c:v>5.5</c:v>
                </c:pt>
                <c:pt idx="10">
                  <c:v>5</c:v>
                </c:pt>
                <c:pt idx="11">
                  <c:v>4.5</c:v>
                </c:pt>
                <c:pt idx="12">
                  <c:v>4</c:v>
                </c:pt>
                <c:pt idx="13">
                  <c:v>3.5</c:v>
                </c:pt>
                <c:pt idx="14">
                  <c:v>3</c:v>
                </c:pt>
                <c:pt idx="15">
                  <c:v>2.5</c:v>
                </c:pt>
                <c:pt idx="16">
                  <c:v>2</c:v>
                </c:pt>
                <c:pt idx="17">
                  <c:v>1.5</c:v>
                </c:pt>
                <c:pt idx="18">
                  <c:v>1</c:v>
                </c:pt>
                <c:pt idx="19">
                  <c:v>0.5</c:v>
                </c:pt>
                <c:pt idx="20">
                  <c:v>0</c:v>
                </c:pt>
                <c:pt idx="21">
                  <c:v>-0.5</c:v>
                </c:pt>
                <c:pt idx="22">
                  <c:v>-1</c:v>
                </c:pt>
                <c:pt idx="23">
                  <c:v>-1.5</c:v>
                </c:pt>
                <c:pt idx="24">
                  <c:v>-2</c:v>
                </c:pt>
                <c:pt idx="25">
                  <c:v>-2.5</c:v>
                </c:pt>
                <c:pt idx="26">
                  <c:v>-3</c:v>
                </c:pt>
                <c:pt idx="27">
                  <c:v>-3.5</c:v>
                </c:pt>
                <c:pt idx="28">
                  <c:v>-4</c:v>
                </c:pt>
                <c:pt idx="29">
                  <c:v>-4.5</c:v>
                </c:pt>
                <c:pt idx="30">
                  <c:v>-5</c:v>
                </c:pt>
                <c:pt idx="31">
                  <c:v>-5.5</c:v>
                </c:pt>
                <c:pt idx="32">
                  <c:v>-6</c:v>
                </c:pt>
                <c:pt idx="33">
                  <c:v>-6.5</c:v>
                </c:pt>
                <c:pt idx="34">
                  <c:v>-7</c:v>
                </c:pt>
                <c:pt idx="35">
                  <c:v>-7.5</c:v>
                </c:pt>
                <c:pt idx="36">
                  <c:v>-8</c:v>
                </c:pt>
                <c:pt idx="37">
                  <c:v>-8.5</c:v>
                </c:pt>
                <c:pt idx="38">
                  <c:v>-9</c:v>
                </c:pt>
                <c:pt idx="39">
                  <c:v>-9.5</c:v>
                </c:pt>
                <c:pt idx="40">
                  <c:v>-10</c:v>
                </c:pt>
              </c:numCache>
            </c:numRef>
          </c:cat>
          <c:val>
            <c:numRef>
              <c:f>'Enter Data Here'!$S$3:$S$43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B89-4741-A683-7B805A97FC4C}"/>
            </c:ext>
          </c:extLst>
        </c:ser>
        <c:ser>
          <c:idx val="17"/>
          <c:order val="17"/>
          <c:tx>
            <c:v>-1.5</c:v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numRef>
              <c:f>'Enter Data Here'!$B$3:$B$43</c:f>
              <c:numCache>
                <c:formatCode>General</c:formatCode>
                <c:ptCount val="41"/>
                <c:pt idx="0">
                  <c:v>10</c:v>
                </c:pt>
                <c:pt idx="1">
                  <c:v>9.5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7.5</c:v>
                </c:pt>
                <c:pt idx="6">
                  <c:v>7</c:v>
                </c:pt>
                <c:pt idx="7">
                  <c:v>6.5</c:v>
                </c:pt>
                <c:pt idx="8">
                  <c:v>6</c:v>
                </c:pt>
                <c:pt idx="9">
                  <c:v>5.5</c:v>
                </c:pt>
                <c:pt idx="10">
                  <c:v>5</c:v>
                </c:pt>
                <c:pt idx="11">
                  <c:v>4.5</c:v>
                </c:pt>
                <c:pt idx="12">
                  <c:v>4</c:v>
                </c:pt>
                <c:pt idx="13">
                  <c:v>3.5</c:v>
                </c:pt>
                <c:pt idx="14">
                  <c:v>3</c:v>
                </c:pt>
                <c:pt idx="15">
                  <c:v>2.5</c:v>
                </c:pt>
                <c:pt idx="16">
                  <c:v>2</c:v>
                </c:pt>
                <c:pt idx="17">
                  <c:v>1.5</c:v>
                </c:pt>
                <c:pt idx="18">
                  <c:v>1</c:v>
                </c:pt>
                <c:pt idx="19">
                  <c:v>0.5</c:v>
                </c:pt>
                <c:pt idx="20">
                  <c:v>0</c:v>
                </c:pt>
                <c:pt idx="21">
                  <c:v>-0.5</c:v>
                </c:pt>
                <c:pt idx="22">
                  <c:v>-1</c:v>
                </c:pt>
                <c:pt idx="23">
                  <c:v>-1.5</c:v>
                </c:pt>
                <c:pt idx="24">
                  <c:v>-2</c:v>
                </c:pt>
                <c:pt idx="25">
                  <c:v>-2.5</c:v>
                </c:pt>
                <c:pt idx="26">
                  <c:v>-3</c:v>
                </c:pt>
                <c:pt idx="27">
                  <c:v>-3.5</c:v>
                </c:pt>
                <c:pt idx="28">
                  <c:v>-4</c:v>
                </c:pt>
                <c:pt idx="29">
                  <c:v>-4.5</c:v>
                </c:pt>
                <c:pt idx="30">
                  <c:v>-5</c:v>
                </c:pt>
                <c:pt idx="31">
                  <c:v>-5.5</c:v>
                </c:pt>
                <c:pt idx="32">
                  <c:v>-6</c:v>
                </c:pt>
                <c:pt idx="33">
                  <c:v>-6.5</c:v>
                </c:pt>
                <c:pt idx="34">
                  <c:v>-7</c:v>
                </c:pt>
                <c:pt idx="35">
                  <c:v>-7.5</c:v>
                </c:pt>
                <c:pt idx="36">
                  <c:v>-8</c:v>
                </c:pt>
                <c:pt idx="37">
                  <c:v>-8.5</c:v>
                </c:pt>
                <c:pt idx="38">
                  <c:v>-9</c:v>
                </c:pt>
                <c:pt idx="39">
                  <c:v>-9.5</c:v>
                </c:pt>
                <c:pt idx="40">
                  <c:v>-10</c:v>
                </c:pt>
              </c:numCache>
            </c:numRef>
          </c:cat>
          <c:val>
            <c:numRef>
              <c:f>'Enter Data Here'!$T$3:$T$43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4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B89-4741-A683-7B805A97FC4C}"/>
            </c:ext>
          </c:extLst>
        </c:ser>
        <c:ser>
          <c:idx val="18"/>
          <c:order val="18"/>
          <c:tx>
            <c:v>-1</c:v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numRef>
              <c:f>'Enter Data Here'!$B$3:$B$43</c:f>
              <c:numCache>
                <c:formatCode>General</c:formatCode>
                <c:ptCount val="41"/>
                <c:pt idx="0">
                  <c:v>10</c:v>
                </c:pt>
                <c:pt idx="1">
                  <c:v>9.5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7.5</c:v>
                </c:pt>
                <c:pt idx="6">
                  <c:v>7</c:v>
                </c:pt>
                <c:pt idx="7">
                  <c:v>6.5</c:v>
                </c:pt>
                <c:pt idx="8">
                  <c:v>6</c:v>
                </c:pt>
                <c:pt idx="9">
                  <c:v>5.5</c:v>
                </c:pt>
                <c:pt idx="10">
                  <c:v>5</c:v>
                </c:pt>
                <c:pt idx="11">
                  <c:v>4.5</c:v>
                </c:pt>
                <c:pt idx="12">
                  <c:v>4</c:v>
                </c:pt>
                <c:pt idx="13">
                  <c:v>3.5</c:v>
                </c:pt>
                <c:pt idx="14">
                  <c:v>3</c:v>
                </c:pt>
                <c:pt idx="15">
                  <c:v>2.5</c:v>
                </c:pt>
                <c:pt idx="16">
                  <c:v>2</c:v>
                </c:pt>
                <c:pt idx="17">
                  <c:v>1.5</c:v>
                </c:pt>
                <c:pt idx="18">
                  <c:v>1</c:v>
                </c:pt>
                <c:pt idx="19">
                  <c:v>0.5</c:v>
                </c:pt>
                <c:pt idx="20">
                  <c:v>0</c:v>
                </c:pt>
                <c:pt idx="21">
                  <c:v>-0.5</c:v>
                </c:pt>
                <c:pt idx="22">
                  <c:v>-1</c:v>
                </c:pt>
                <c:pt idx="23">
                  <c:v>-1.5</c:v>
                </c:pt>
                <c:pt idx="24">
                  <c:v>-2</c:v>
                </c:pt>
                <c:pt idx="25">
                  <c:v>-2.5</c:v>
                </c:pt>
                <c:pt idx="26">
                  <c:v>-3</c:v>
                </c:pt>
                <c:pt idx="27">
                  <c:v>-3.5</c:v>
                </c:pt>
                <c:pt idx="28">
                  <c:v>-4</c:v>
                </c:pt>
                <c:pt idx="29">
                  <c:v>-4.5</c:v>
                </c:pt>
                <c:pt idx="30">
                  <c:v>-5</c:v>
                </c:pt>
                <c:pt idx="31">
                  <c:v>-5.5</c:v>
                </c:pt>
                <c:pt idx="32">
                  <c:v>-6</c:v>
                </c:pt>
                <c:pt idx="33">
                  <c:v>-6.5</c:v>
                </c:pt>
                <c:pt idx="34">
                  <c:v>-7</c:v>
                </c:pt>
                <c:pt idx="35">
                  <c:v>-7.5</c:v>
                </c:pt>
                <c:pt idx="36">
                  <c:v>-8</c:v>
                </c:pt>
                <c:pt idx="37">
                  <c:v>-8.5</c:v>
                </c:pt>
                <c:pt idx="38">
                  <c:v>-9</c:v>
                </c:pt>
                <c:pt idx="39">
                  <c:v>-9.5</c:v>
                </c:pt>
                <c:pt idx="40">
                  <c:v>-10</c:v>
                </c:pt>
              </c:numCache>
            </c:numRef>
          </c:cat>
          <c:val>
            <c:numRef>
              <c:f>'Enter Data Here'!$U$3:$U$43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B89-4741-A683-7B805A97FC4C}"/>
            </c:ext>
          </c:extLst>
        </c:ser>
        <c:ser>
          <c:idx val="19"/>
          <c:order val="19"/>
          <c:tx>
            <c:v>-0.5</c:v>
          </c:tx>
          <c:spPr>
            <a:solidFill>
              <a:schemeClr val="bg1">
                <a:lumMod val="65000"/>
              </a:schemeClr>
            </a:solidFill>
            <a:ln>
              <a:noFill/>
            </a:ln>
          </c:spPr>
          <c:invertIfNegative val="0"/>
          <c:cat>
            <c:numRef>
              <c:f>'Enter Data Here'!$B$3:$B$43</c:f>
              <c:numCache>
                <c:formatCode>General</c:formatCode>
                <c:ptCount val="41"/>
                <c:pt idx="0">
                  <c:v>10</c:v>
                </c:pt>
                <c:pt idx="1">
                  <c:v>9.5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7.5</c:v>
                </c:pt>
                <c:pt idx="6">
                  <c:v>7</c:v>
                </c:pt>
                <c:pt idx="7">
                  <c:v>6.5</c:v>
                </c:pt>
                <c:pt idx="8">
                  <c:v>6</c:v>
                </c:pt>
                <c:pt idx="9">
                  <c:v>5.5</c:v>
                </c:pt>
                <c:pt idx="10">
                  <c:v>5</c:v>
                </c:pt>
                <c:pt idx="11">
                  <c:v>4.5</c:v>
                </c:pt>
                <c:pt idx="12">
                  <c:v>4</c:v>
                </c:pt>
                <c:pt idx="13">
                  <c:v>3.5</c:v>
                </c:pt>
                <c:pt idx="14">
                  <c:v>3</c:v>
                </c:pt>
                <c:pt idx="15">
                  <c:v>2.5</c:v>
                </c:pt>
                <c:pt idx="16">
                  <c:v>2</c:v>
                </c:pt>
                <c:pt idx="17">
                  <c:v>1.5</c:v>
                </c:pt>
                <c:pt idx="18">
                  <c:v>1</c:v>
                </c:pt>
                <c:pt idx="19">
                  <c:v>0.5</c:v>
                </c:pt>
                <c:pt idx="20">
                  <c:v>0</c:v>
                </c:pt>
                <c:pt idx="21">
                  <c:v>-0.5</c:v>
                </c:pt>
                <c:pt idx="22">
                  <c:v>-1</c:v>
                </c:pt>
                <c:pt idx="23">
                  <c:v>-1.5</c:v>
                </c:pt>
                <c:pt idx="24">
                  <c:v>-2</c:v>
                </c:pt>
                <c:pt idx="25">
                  <c:v>-2.5</c:v>
                </c:pt>
                <c:pt idx="26">
                  <c:v>-3</c:v>
                </c:pt>
                <c:pt idx="27">
                  <c:v>-3.5</c:v>
                </c:pt>
                <c:pt idx="28">
                  <c:v>-4</c:v>
                </c:pt>
                <c:pt idx="29">
                  <c:v>-4.5</c:v>
                </c:pt>
                <c:pt idx="30">
                  <c:v>-5</c:v>
                </c:pt>
                <c:pt idx="31">
                  <c:v>-5.5</c:v>
                </c:pt>
                <c:pt idx="32">
                  <c:v>-6</c:v>
                </c:pt>
                <c:pt idx="33">
                  <c:v>-6.5</c:v>
                </c:pt>
                <c:pt idx="34">
                  <c:v>-7</c:v>
                </c:pt>
                <c:pt idx="35">
                  <c:v>-7.5</c:v>
                </c:pt>
                <c:pt idx="36">
                  <c:v>-8</c:v>
                </c:pt>
                <c:pt idx="37">
                  <c:v>-8.5</c:v>
                </c:pt>
                <c:pt idx="38">
                  <c:v>-9</c:v>
                </c:pt>
                <c:pt idx="39">
                  <c:v>-9.5</c:v>
                </c:pt>
                <c:pt idx="40">
                  <c:v>-10</c:v>
                </c:pt>
              </c:numCache>
            </c:numRef>
          </c:cat>
          <c:val>
            <c:numRef>
              <c:f>'Enter Data Here'!$V$3:$V$43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B89-4741-A683-7B805A97FC4C}"/>
            </c:ext>
          </c:extLst>
        </c:ser>
        <c:ser>
          <c:idx val="20"/>
          <c:order val="20"/>
          <c:tx>
            <c:v>0</c:v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numRef>
              <c:f>'Enter Data Here'!$B$3:$B$43</c:f>
              <c:numCache>
                <c:formatCode>General</c:formatCode>
                <c:ptCount val="41"/>
                <c:pt idx="0">
                  <c:v>10</c:v>
                </c:pt>
                <c:pt idx="1">
                  <c:v>9.5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7.5</c:v>
                </c:pt>
                <c:pt idx="6">
                  <c:v>7</c:v>
                </c:pt>
                <c:pt idx="7">
                  <c:v>6.5</c:v>
                </c:pt>
                <c:pt idx="8">
                  <c:v>6</c:v>
                </c:pt>
                <c:pt idx="9">
                  <c:v>5.5</c:v>
                </c:pt>
                <c:pt idx="10">
                  <c:v>5</c:v>
                </c:pt>
                <c:pt idx="11">
                  <c:v>4.5</c:v>
                </c:pt>
                <c:pt idx="12">
                  <c:v>4</c:v>
                </c:pt>
                <c:pt idx="13">
                  <c:v>3.5</c:v>
                </c:pt>
                <c:pt idx="14">
                  <c:v>3</c:v>
                </c:pt>
                <c:pt idx="15">
                  <c:v>2.5</c:v>
                </c:pt>
                <c:pt idx="16">
                  <c:v>2</c:v>
                </c:pt>
                <c:pt idx="17">
                  <c:v>1.5</c:v>
                </c:pt>
                <c:pt idx="18">
                  <c:v>1</c:v>
                </c:pt>
                <c:pt idx="19">
                  <c:v>0.5</c:v>
                </c:pt>
                <c:pt idx="20">
                  <c:v>0</c:v>
                </c:pt>
                <c:pt idx="21">
                  <c:v>-0.5</c:v>
                </c:pt>
                <c:pt idx="22">
                  <c:v>-1</c:v>
                </c:pt>
                <c:pt idx="23">
                  <c:v>-1.5</c:v>
                </c:pt>
                <c:pt idx="24">
                  <c:v>-2</c:v>
                </c:pt>
                <c:pt idx="25">
                  <c:v>-2.5</c:v>
                </c:pt>
                <c:pt idx="26">
                  <c:v>-3</c:v>
                </c:pt>
                <c:pt idx="27">
                  <c:v>-3.5</c:v>
                </c:pt>
                <c:pt idx="28">
                  <c:v>-4</c:v>
                </c:pt>
                <c:pt idx="29">
                  <c:v>-4.5</c:v>
                </c:pt>
                <c:pt idx="30">
                  <c:v>-5</c:v>
                </c:pt>
                <c:pt idx="31">
                  <c:v>-5.5</c:v>
                </c:pt>
                <c:pt idx="32">
                  <c:v>-6</c:v>
                </c:pt>
                <c:pt idx="33">
                  <c:v>-6.5</c:v>
                </c:pt>
                <c:pt idx="34">
                  <c:v>-7</c:v>
                </c:pt>
                <c:pt idx="35">
                  <c:v>-7.5</c:v>
                </c:pt>
                <c:pt idx="36">
                  <c:v>-8</c:v>
                </c:pt>
                <c:pt idx="37">
                  <c:v>-8.5</c:v>
                </c:pt>
                <c:pt idx="38">
                  <c:v>-9</c:v>
                </c:pt>
                <c:pt idx="39">
                  <c:v>-9.5</c:v>
                </c:pt>
                <c:pt idx="40">
                  <c:v>-10</c:v>
                </c:pt>
              </c:numCache>
            </c:numRef>
          </c:cat>
          <c:val>
            <c:numRef>
              <c:f>'Enter Data Here'!$W$3:$W$43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B89-4741-A683-7B805A97FC4C}"/>
            </c:ext>
          </c:extLst>
        </c:ser>
        <c:ser>
          <c:idx val="21"/>
          <c:order val="21"/>
          <c:tx>
            <c:v>0.5</c:v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numRef>
              <c:f>'Enter Data Here'!$B$3:$B$43</c:f>
              <c:numCache>
                <c:formatCode>General</c:formatCode>
                <c:ptCount val="41"/>
                <c:pt idx="0">
                  <c:v>10</c:v>
                </c:pt>
                <c:pt idx="1">
                  <c:v>9.5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7.5</c:v>
                </c:pt>
                <c:pt idx="6">
                  <c:v>7</c:v>
                </c:pt>
                <c:pt idx="7">
                  <c:v>6.5</c:v>
                </c:pt>
                <c:pt idx="8">
                  <c:v>6</c:v>
                </c:pt>
                <c:pt idx="9">
                  <c:v>5.5</c:v>
                </c:pt>
                <c:pt idx="10">
                  <c:v>5</c:v>
                </c:pt>
                <c:pt idx="11">
                  <c:v>4.5</c:v>
                </c:pt>
                <c:pt idx="12">
                  <c:v>4</c:v>
                </c:pt>
                <c:pt idx="13">
                  <c:v>3.5</c:v>
                </c:pt>
                <c:pt idx="14">
                  <c:v>3</c:v>
                </c:pt>
                <c:pt idx="15">
                  <c:v>2.5</c:v>
                </c:pt>
                <c:pt idx="16">
                  <c:v>2</c:v>
                </c:pt>
                <c:pt idx="17">
                  <c:v>1.5</c:v>
                </c:pt>
                <c:pt idx="18">
                  <c:v>1</c:v>
                </c:pt>
                <c:pt idx="19">
                  <c:v>0.5</c:v>
                </c:pt>
                <c:pt idx="20">
                  <c:v>0</c:v>
                </c:pt>
                <c:pt idx="21">
                  <c:v>-0.5</c:v>
                </c:pt>
                <c:pt idx="22">
                  <c:v>-1</c:v>
                </c:pt>
                <c:pt idx="23">
                  <c:v>-1.5</c:v>
                </c:pt>
                <c:pt idx="24">
                  <c:v>-2</c:v>
                </c:pt>
                <c:pt idx="25">
                  <c:v>-2.5</c:v>
                </c:pt>
                <c:pt idx="26">
                  <c:v>-3</c:v>
                </c:pt>
                <c:pt idx="27">
                  <c:v>-3.5</c:v>
                </c:pt>
                <c:pt idx="28">
                  <c:v>-4</c:v>
                </c:pt>
                <c:pt idx="29">
                  <c:v>-4.5</c:v>
                </c:pt>
                <c:pt idx="30">
                  <c:v>-5</c:v>
                </c:pt>
                <c:pt idx="31">
                  <c:v>-5.5</c:v>
                </c:pt>
                <c:pt idx="32">
                  <c:v>-6</c:v>
                </c:pt>
                <c:pt idx="33">
                  <c:v>-6.5</c:v>
                </c:pt>
                <c:pt idx="34">
                  <c:v>-7</c:v>
                </c:pt>
                <c:pt idx="35">
                  <c:v>-7.5</c:v>
                </c:pt>
                <c:pt idx="36">
                  <c:v>-8</c:v>
                </c:pt>
                <c:pt idx="37">
                  <c:v>-8.5</c:v>
                </c:pt>
                <c:pt idx="38">
                  <c:v>-9</c:v>
                </c:pt>
                <c:pt idx="39">
                  <c:v>-9.5</c:v>
                </c:pt>
                <c:pt idx="40">
                  <c:v>-10</c:v>
                </c:pt>
              </c:numCache>
            </c:numRef>
          </c:cat>
          <c:val>
            <c:numRef>
              <c:f>'Enter Data Here'!$X$3:$X$43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B89-4741-A683-7B805A97FC4C}"/>
            </c:ext>
          </c:extLst>
        </c:ser>
        <c:ser>
          <c:idx val="22"/>
          <c:order val="22"/>
          <c:tx>
            <c:v>1</c:v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numRef>
              <c:f>'Enter Data Here'!$B$3:$B$43</c:f>
              <c:numCache>
                <c:formatCode>General</c:formatCode>
                <c:ptCount val="41"/>
                <c:pt idx="0">
                  <c:v>10</c:v>
                </c:pt>
                <c:pt idx="1">
                  <c:v>9.5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7.5</c:v>
                </c:pt>
                <c:pt idx="6">
                  <c:v>7</c:v>
                </c:pt>
                <c:pt idx="7">
                  <c:v>6.5</c:v>
                </c:pt>
                <c:pt idx="8">
                  <c:v>6</c:v>
                </c:pt>
                <c:pt idx="9">
                  <c:v>5.5</c:v>
                </c:pt>
                <c:pt idx="10">
                  <c:v>5</c:v>
                </c:pt>
                <c:pt idx="11">
                  <c:v>4.5</c:v>
                </c:pt>
                <c:pt idx="12">
                  <c:v>4</c:v>
                </c:pt>
                <c:pt idx="13">
                  <c:v>3.5</c:v>
                </c:pt>
                <c:pt idx="14">
                  <c:v>3</c:v>
                </c:pt>
                <c:pt idx="15">
                  <c:v>2.5</c:v>
                </c:pt>
                <c:pt idx="16">
                  <c:v>2</c:v>
                </c:pt>
                <c:pt idx="17">
                  <c:v>1.5</c:v>
                </c:pt>
                <c:pt idx="18">
                  <c:v>1</c:v>
                </c:pt>
                <c:pt idx="19">
                  <c:v>0.5</c:v>
                </c:pt>
                <c:pt idx="20">
                  <c:v>0</c:v>
                </c:pt>
                <c:pt idx="21">
                  <c:v>-0.5</c:v>
                </c:pt>
                <c:pt idx="22">
                  <c:v>-1</c:v>
                </c:pt>
                <c:pt idx="23">
                  <c:v>-1.5</c:v>
                </c:pt>
                <c:pt idx="24">
                  <c:v>-2</c:v>
                </c:pt>
                <c:pt idx="25">
                  <c:v>-2.5</c:v>
                </c:pt>
                <c:pt idx="26">
                  <c:v>-3</c:v>
                </c:pt>
                <c:pt idx="27">
                  <c:v>-3.5</c:v>
                </c:pt>
                <c:pt idx="28">
                  <c:v>-4</c:v>
                </c:pt>
                <c:pt idx="29">
                  <c:v>-4.5</c:v>
                </c:pt>
                <c:pt idx="30">
                  <c:v>-5</c:v>
                </c:pt>
                <c:pt idx="31">
                  <c:v>-5.5</c:v>
                </c:pt>
                <c:pt idx="32">
                  <c:v>-6</c:v>
                </c:pt>
                <c:pt idx="33">
                  <c:v>-6.5</c:v>
                </c:pt>
                <c:pt idx="34">
                  <c:v>-7</c:v>
                </c:pt>
                <c:pt idx="35">
                  <c:v>-7.5</c:v>
                </c:pt>
                <c:pt idx="36">
                  <c:v>-8</c:v>
                </c:pt>
                <c:pt idx="37">
                  <c:v>-8.5</c:v>
                </c:pt>
                <c:pt idx="38">
                  <c:v>-9</c:v>
                </c:pt>
                <c:pt idx="39">
                  <c:v>-9.5</c:v>
                </c:pt>
                <c:pt idx="40">
                  <c:v>-10</c:v>
                </c:pt>
              </c:numCache>
            </c:numRef>
          </c:cat>
          <c:val>
            <c:numRef>
              <c:f>'Enter Data Here'!$Y$3:$Y$43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B89-4741-A683-7B805A97FC4C}"/>
            </c:ext>
          </c:extLst>
        </c:ser>
        <c:ser>
          <c:idx val="23"/>
          <c:order val="23"/>
          <c:tx>
            <c:v>1.5</c:v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numRef>
              <c:f>'Enter Data Here'!$B$3:$B$43</c:f>
              <c:numCache>
                <c:formatCode>General</c:formatCode>
                <c:ptCount val="41"/>
                <c:pt idx="0">
                  <c:v>10</c:v>
                </c:pt>
                <c:pt idx="1">
                  <c:v>9.5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7.5</c:v>
                </c:pt>
                <c:pt idx="6">
                  <c:v>7</c:v>
                </c:pt>
                <c:pt idx="7">
                  <c:v>6.5</c:v>
                </c:pt>
                <c:pt idx="8">
                  <c:v>6</c:v>
                </c:pt>
                <c:pt idx="9">
                  <c:v>5.5</c:v>
                </c:pt>
                <c:pt idx="10">
                  <c:v>5</c:v>
                </c:pt>
                <c:pt idx="11">
                  <c:v>4.5</c:v>
                </c:pt>
                <c:pt idx="12">
                  <c:v>4</c:v>
                </c:pt>
                <c:pt idx="13">
                  <c:v>3.5</c:v>
                </c:pt>
                <c:pt idx="14">
                  <c:v>3</c:v>
                </c:pt>
                <c:pt idx="15">
                  <c:v>2.5</c:v>
                </c:pt>
                <c:pt idx="16">
                  <c:v>2</c:v>
                </c:pt>
                <c:pt idx="17">
                  <c:v>1.5</c:v>
                </c:pt>
                <c:pt idx="18">
                  <c:v>1</c:v>
                </c:pt>
                <c:pt idx="19">
                  <c:v>0.5</c:v>
                </c:pt>
                <c:pt idx="20">
                  <c:v>0</c:v>
                </c:pt>
                <c:pt idx="21">
                  <c:v>-0.5</c:v>
                </c:pt>
                <c:pt idx="22">
                  <c:v>-1</c:v>
                </c:pt>
                <c:pt idx="23">
                  <c:v>-1.5</c:v>
                </c:pt>
                <c:pt idx="24">
                  <c:v>-2</c:v>
                </c:pt>
                <c:pt idx="25">
                  <c:v>-2.5</c:v>
                </c:pt>
                <c:pt idx="26">
                  <c:v>-3</c:v>
                </c:pt>
                <c:pt idx="27">
                  <c:v>-3.5</c:v>
                </c:pt>
                <c:pt idx="28">
                  <c:v>-4</c:v>
                </c:pt>
                <c:pt idx="29">
                  <c:v>-4.5</c:v>
                </c:pt>
                <c:pt idx="30">
                  <c:v>-5</c:v>
                </c:pt>
                <c:pt idx="31">
                  <c:v>-5.5</c:v>
                </c:pt>
                <c:pt idx="32">
                  <c:v>-6</c:v>
                </c:pt>
                <c:pt idx="33">
                  <c:v>-6.5</c:v>
                </c:pt>
                <c:pt idx="34">
                  <c:v>-7</c:v>
                </c:pt>
                <c:pt idx="35">
                  <c:v>-7.5</c:v>
                </c:pt>
                <c:pt idx="36">
                  <c:v>-8</c:v>
                </c:pt>
                <c:pt idx="37">
                  <c:v>-8.5</c:v>
                </c:pt>
                <c:pt idx="38">
                  <c:v>-9</c:v>
                </c:pt>
                <c:pt idx="39">
                  <c:v>-9.5</c:v>
                </c:pt>
                <c:pt idx="40">
                  <c:v>-10</c:v>
                </c:pt>
              </c:numCache>
            </c:numRef>
          </c:cat>
          <c:val>
            <c:numRef>
              <c:f>'Enter Data Here'!$Z$3:$Z$43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B89-4741-A683-7B805A97FC4C}"/>
            </c:ext>
          </c:extLst>
        </c:ser>
        <c:ser>
          <c:idx val="24"/>
          <c:order val="24"/>
          <c:tx>
            <c:v>2</c:v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'Enter Data Here'!$B$3:$B$43</c:f>
              <c:numCache>
                <c:formatCode>General</c:formatCode>
                <c:ptCount val="41"/>
                <c:pt idx="0">
                  <c:v>10</c:v>
                </c:pt>
                <c:pt idx="1">
                  <c:v>9.5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7.5</c:v>
                </c:pt>
                <c:pt idx="6">
                  <c:v>7</c:v>
                </c:pt>
                <c:pt idx="7">
                  <c:v>6.5</c:v>
                </c:pt>
                <c:pt idx="8">
                  <c:v>6</c:v>
                </c:pt>
                <c:pt idx="9">
                  <c:v>5.5</c:v>
                </c:pt>
                <c:pt idx="10">
                  <c:v>5</c:v>
                </c:pt>
                <c:pt idx="11">
                  <c:v>4.5</c:v>
                </c:pt>
                <c:pt idx="12">
                  <c:v>4</c:v>
                </c:pt>
                <c:pt idx="13">
                  <c:v>3.5</c:v>
                </c:pt>
                <c:pt idx="14">
                  <c:v>3</c:v>
                </c:pt>
                <c:pt idx="15">
                  <c:v>2.5</c:v>
                </c:pt>
                <c:pt idx="16">
                  <c:v>2</c:v>
                </c:pt>
                <c:pt idx="17">
                  <c:v>1.5</c:v>
                </c:pt>
                <c:pt idx="18">
                  <c:v>1</c:v>
                </c:pt>
                <c:pt idx="19">
                  <c:v>0.5</c:v>
                </c:pt>
                <c:pt idx="20">
                  <c:v>0</c:v>
                </c:pt>
                <c:pt idx="21">
                  <c:v>-0.5</c:v>
                </c:pt>
                <c:pt idx="22">
                  <c:v>-1</c:v>
                </c:pt>
                <c:pt idx="23">
                  <c:v>-1.5</c:v>
                </c:pt>
                <c:pt idx="24">
                  <c:v>-2</c:v>
                </c:pt>
                <c:pt idx="25">
                  <c:v>-2.5</c:v>
                </c:pt>
                <c:pt idx="26">
                  <c:v>-3</c:v>
                </c:pt>
                <c:pt idx="27">
                  <c:v>-3.5</c:v>
                </c:pt>
                <c:pt idx="28">
                  <c:v>-4</c:v>
                </c:pt>
                <c:pt idx="29">
                  <c:v>-4.5</c:v>
                </c:pt>
                <c:pt idx="30">
                  <c:v>-5</c:v>
                </c:pt>
                <c:pt idx="31">
                  <c:v>-5.5</c:v>
                </c:pt>
                <c:pt idx="32">
                  <c:v>-6</c:v>
                </c:pt>
                <c:pt idx="33">
                  <c:v>-6.5</c:v>
                </c:pt>
                <c:pt idx="34">
                  <c:v>-7</c:v>
                </c:pt>
                <c:pt idx="35">
                  <c:v>-7.5</c:v>
                </c:pt>
                <c:pt idx="36">
                  <c:v>-8</c:v>
                </c:pt>
                <c:pt idx="37">
                  <c:v>-8.5</c:v>
                </c:pt>
                <c:pt idx="38">
                  <c:v>-9</c:v>
                </c:pt>
                <c:pt idx="39">
                  <c:v>-9.5</c:v>
                </c:pt>
                <c:pt idx="40">
                  <c:v>-10</c:v>
                </c:pt>
              </c:numCache>
            </c:numRef>
          </c:cat>
          <c:val>
            <c:numRef>
              <c:f>'Enter Data Here'!$AA$3:$AA$43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FB89-4741-A683-7B805A97FC4C}"/>
            </c:ext>
          </c:extLst>
        </c:ser>
        <c:ser>
          <c:idx val="25"/>
          <c:order val="25"/>
          <c:tx>
            <c:v>2.5</c:v>
          </c:tx>
          <c:spPr>
            <a:solidFill>
              <a:schemeClr val="bg1">
                <a:lumMod val="65000"/>
              </a:schemeClr>
            </a:solidFill>
          </c:spPr>
          <c:invertIfNegative val="0"/>
          <c:cat>
            <c:numRef>
              <c:f>'Enter Data Here'!$B$3:$B$43</c:f>
              <c:numCache>
                <c:formatCode>General</c:formatCode>
                <c:ptCount val="41"/>
                <c:pt idx="0">
                  <c:v>10</c:v>
                </c:pt>
                <c:pt idx="1">
                  <c:v>9.5</c:v>
                </c:pt>
                <c:pt idx="2">
                  <c:v>9</c:v>
                </c:pt>
                <c:pt idx="3">
                  <c:v>8.5</c:v>
                </c:pt>
                <c:pt idx="4">
                  <c:v>8</c:v>
                </c:pt>
                <c:pt idx="5">
                  <c:v>7.5</c:v>
                </c:pt>
                <c:pt idx="6">
                  <c:v>7</c:v>
                </c:pt>
                <c:pt idx="7">
                  <c:v>6.5</c:v>
                </c:pt>
                <c:pt idx="8">
                  <c:v>6</c:v>
                </c:pt>
                <c:pt idx="9">
                  <c:v>5.5</c:v>
                </c:pt>
                <c:pt idx="10">
                  <c:v>5</c:v>
                </c:pt>
                <c:pt idx="11">
                  <c:v>4.5</c:v>
                </c:pt>
                <c:pt idx="12">
                  <c:v>4</c:v>
                </c:pt>
                <c:pt idx="13">
                  <c:v>3.5</c:v>
                </c:pt>
                <c:pt idx="14">
                  <c:v>3</c:v>
                </c:pt>
                <c:pt idx="15">
                  <c:v>2.5</c:v>
                </c:pt>
                <c:pt idx="16">
                  <c:v>2</c:v>
                </c:pt>
                <c:pt idx="17">
                  <c:v>1.5</c:v>
                </c:pt>
                <c:pt idx="18">
                  <c:v>1</c:v>
                </c:pt>
                <c:pt idx="19">
                  <c:v>0.5</c:v>
                </c:pt>
                <c:pt idx="20">
                  <c:v>0</c:v>
                </c:pt>
                <c:pt idx="21">
                  <c:v>-0.5</c:v>
                </c:pt>
                <c:pt idx="22">
                  <c:v>-1</c:v>
                </c:pt>
                <c:pt idx="23">
                  <c:v>-1.5</c:v>
                </c:pt>
                <c:pt idx="24">
                  <c:v>-2</c:v>
                </c:pt>
                <c:pt idx="25">
                  <c:v>-2.5</c:v>
                </c:pt>
                <c:pt idx="26">
                  <c:v>-3</c:v>
                </c:pt>
                <c:pt idx="27">
                  <c:v>-3.5</c:v>
                </c:pt>
                <c:pt idx="28">
                  <c:v>-4</c:v>
                </c:pt>
                <c:pt idx="29">
                  <c:v>-4.5</c:v>
                </c:pt>
                <c:pt idx="30">
                  <c:v>-5</c:v>
                </c:pt>
                <c:pt idx="31">
                  <c:v>-5.5</c:v>
                </c:pt>
                <c:pt idx="32">
                  <c:v>-6</c:v>
                </c:pt>
                <c:pt idx="33">
                  <c:v>-6.5</c:v>
                </c:pt>
                <c:pt idx="34">
                  <c:v>-7</c:v>
                </c:pt>
                <c:pt idx="35">
                  <c:v>-7.5</c:v>
                </c:pt>
                <c:pt idx="36">
                  <c:v>-8</c:v>
                </c:pt>
                <c:pt idx="37">
                  <c:v>-8.5</c:v>
                </c:pt>
                <c:pt idx="38">
                  <c:v>-9</c:v>
                </c:pt>
                <c:pt idx="39">
                  <c:v>-9.5</c:v>
                </c:pt>
                <c:pt idx="40">
                  <c:v>-10</c:v>
                </c:pt>
              </c:numCache>
            </c:numRef>
          </c:cat>
          <c:val>
            <c:numRef>
              <c:f>'Enter Data Here'!$AB$3:$AB$43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FB89-4741-A683-7B805A97FC4C}"/>
            </c:ext>
          </c:extLst>
        </c:ser>
        <c:ser>
          <c:idx val="26"/>
          <c:order val="26"/>
          <c:tx>
            <c:v>3</c:v>
          </c:tx>
          <c:spPr>
            <a:solidFill>
              <a:schemeClr val="bg1">
                <a:lumMod val="65000"/>
              </a:schemeClr>
            </a:solidFill>
          </c:spPr>
          <c:invertIfNegative val="0"/>
          <c:val>
            <c:numRef>
              <c:f>'Enter Data Here'!$AC$3:$AC$43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2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FB89-4741-A683-7B805A97FC4C}"/>
            </c:ext>
          </c:extLst>
        </c:ser>
        <c:ser>
          <c:idx val="27"/>
          <c:order val="27"/>
          <c:tx>
            <c:v>3.5</c:v>
          </c:tx>
          <c:spPr>
            <a:solidFill>
              <a:schemeClr val="bg1">
                <a:lumMod val="65000"/>
              </a:schemeClr>
            </a:solidFill>
          </c:spPr>
          <c:invertIfNegative val="0"/>
          <c:val>
            <c:numRef>
              <c:f>'Enter Data Here'!$AD$3:$AD$43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FB89-4741-A683-7B805A97FC4C}"/>
            </c:ext>
          </c:extLst>
        </c:ser>
        <c:ser>
          <c:idx val="28"/>
          <c:order val="28"/>
          <c:tx>
            <c:v>4</c:v>
          </c:tx>
          <c:spPr>
            <a:solidFill>
              <a:schemeClr val="bg1">
                <a:lumMod val="65000"/>
              </a:schemeClr>
            </a:solidFill>
          </c:spPr>
          <c:invertIfNegative val="0"/>
          <c:val>
            <c:numRef>
              <c:f>'Enter Data Here'!$AE$3:$AE$43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FB89-4741-A683-7B805A97FC4C}"/>
            </c:ext>
          </c:extLst>
        </c:ser>
        <c:ser>
          <c:idx val="29"/>
          <c:order val="29"/>
          <c:tx>
            <c:v>4.5</c:v>
          </c:tx>
          <c:spPr>
            <a:solidFill>
              <a:schemeClr val="bg1">
                <a:lumMod val="65000"/>
              </a:schemeClr>
            </a:solidFill>
          </c:spPr>
          <c:invertIfNegative val="0"/>
          <c:val>
            <c:numRef>
              <c:f>'Enter Data Here'!$AF$3:$AF$43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FB89-4741-A683-7B805A97FC4C}"/>
            </c:ext>
          </c:extLst>
        </c:ser>
        <c:ser>
          <c:idx val="30"/>
          <c:order val="30"/>
          <c:tx>
            <c:v>5</c:v>
          </c:tx>
          <c:spPr>
            <a:solidFill>
              <a:schemeClr val="bg1">
                <a:lumMod val="65000"/>
              </a:schemeClr>
            </a:solidFill>
          </c:spPr>
          <c:invertIfNegative val="0"/>
          <c:val>
            <c:numRef>
              <c:f>'Enter Data Here'!$AG$3:$AG$43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FB89-4741-A683-7B805A97FC4C}"/>
            </c:ext>
          </c:extLst>
        </c:ser>
        <c:ser>
          <c:idx val="31"/>
          <c:order val="31"/>
          <c:tx>
            <c:v>5.5</c:v>
          </c:tx>
          <c:spPr>
            <a:solidFill>
              <a:schemeClr val="bg1">
                <a:lumMod val="65000"/>
              </a:schemeClr>
            </a:solidFill>
          </c:spPr>
          <c:invertIfNegative val="0"/>
          <c:val>
            <c:numRef>
              <c:f>'Enter Data Here'!$AH$3:$AH$43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FB89-4741-A683-7B805A97FC4C}"/>
            </c:ext>
          </c:extLst>
        </c:ser>
        <c:ser>
          <c:idx val="32"/>
          <c:order val="32"/>
          <c:tx>
            <c:v>6</c:v>
          </c:tx>
          <c:spPr>
            <a:solidFill>
              <a:schemeClr val="bg1">
                <a:lumMod val="65000"/>
              </a:schemeClr>
            </a:solidFill>
          </c:spPr>
          <c:invertIfNegative val="0"/>
          <c:val>
            <c:numRef>
              <c:f>'Enter Data Here'!$AI$3:$AI$43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FB89-4741-A683-7B805A97FC4C}"/>
            </c:ext>
          </c:extLst>
        </c:ser>
        <c:ser>
          <c:idx val="33"/>
          <c:order val="33"/>
          <c:tx>
            <c:v>6.5</c:v>
          </c:tx>
          <c:spPr>
            <a:solidFill>
              <a:schemeClr val="bg1">
                <a:lumMod val="65000"/>
              </a:schemeClr>
            </a:solidFill>
          </c:spPr>
          <c:invertIfNegative val="0"/>
          <c:val>
            <c:numRef>
              <c:f>'Enter Data Here'!$AJ$3:$AJ$43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FB89-4741-A683-7B805A97FC4C}"/>
            </c:ext>
          </c:extLst>
        </c:ser>
        <c:ser>
          <c:idx val="34"/>
          <c:order val="34"/>
          <c:tx>
            <c:v>7</c:v>
          </c:tx>
          <c:spPr>
            <a:solidFill>
              <a:schemeClr val="bg1">
                <a:lumMod val="65000"/>
              </a:schemeClr>
            </a:solidFill>
          </c:spPr>
          <c:invertIfNegative val="0"/>
          <c:val>
            <c:numRef>
              <c:f>'Enter Data Here'!$AK$3:$AK$43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FB89-4741-A683-7B805A97FC4C}"/>
            </c:ext>
          </c:extLst>
        </c:ser>
        <c:ser>
          <c:idx val="35"/>
          <c:order val="35"/>
          <c:tx>
            <c:v>7.5</c:v>
          </c:tx>
          <c:spPr>
            <a:solidFill>
              <a:schemeClr val="bg1">
                <a:lumMod val="65000"/>
              </a:schemeClr>
            </a:solidFill>
          </c:spPr>
          <c:invertIfNegative val="0"/>
          <c:val>
            <c:numRef>
              <c:f>'Enter Data Here'!$AL$3:$AL$43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FB89-4741-A683-7B805A97FC4C}"/>
            </c:ext>
          </c:extLst>
        </c:ser>
        <c:ser>
          <c:idx val="36"/>
          <c:order val="36"/>
          <c:tx>
            <c:v>8</c:v>
          </c:tx>
          <c:spPr>
            <a:solidFill>
              <a:schemeClr val="bg1">
                <a:lumMod val="65000"/>
              </a:schemeClr>
            </a:solidFill>
          </c:spPr>
          <c:invertIfNegative val="0"/>
          <c:val>
            <c:numRef>
              <c:f>'Enter Data Here'!$AM$3:$AM$43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FB89-4741-A683-7B805A97FC4C}"/>
            </c:ext>
          </c:extLst>
        </c:ser>
        <c:ser>
          <c:idx val="37"/>
          <c:order val="37"/>
          <c:tx>
            <c:v>8.5</c:v>
          </c:tx>
          <c:spPr>
            <a:solidFill>
              <a:schemeClr val="bg1">
                <a:lumMod val="65000"/>
              </a:schemeClr>
            </a:solidFill>
          </c:spPr>
          <c:invertIfNegative val="0"/>
          <c:val>
            <c:numRef>
              <c:f>'Enter Data Here'!$AN$3:$AN$43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FB89-4741-A683-7B805A97FC4C}"/>
            </c:ext>
          </c:extLst>
        </c:ser>
        <c:ser>
          <c:idx val="38"/>
          <c:order val="38"/>
          <c:tx>
            <c:v>9</c:v>
          </c:tx>
          <c:spPr>
            <a:solidFill>
              <a:schemeClr val="bg1">
                <a:lumMod val="65000"/>
              </a:schemeClr>
            </a:solidFill>
          </c:spPr>
          <c:invertIfNegative val="0"/>
          <c:val>
            <c:numRef>
              <c:f>'Enter Data Here'!$AO$3:$AO$43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FB89-4741-A683-7B805A97FC4C}"/>
            </c:ext>
          </c:extLst>
        </c:ser>
        <c:ser>
          <c:idx val="39"/>
          <c:order val="39"/>
          <c:tx>
            <c:v>9.5</c:v>
          </c:tx>
          <c:spPr>
            <a:solidFill>
              <a:schemeClr val="bg1">
                <a:lumMod val="65000"/>
              </a:schemeClr>
            </a:solidFill>
          </c:spPr>
          <c:invertIfNegative val="0"/>
          <c:val>
            <c:numRef>
              <c:f>'Enter Data Here'!$AP$3:$AP$43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FB89-4741-A683-7B805A97FC4C}"/>
            </c:ext>
          </c:extLst>
        </c:ser>
        <c:ser>
          <c:idx val="40"/>
          <c:order val="40"/>
          <c:tx>
            <c:v>10</c:v>
          </c:tx>
          <c:spPr>
            <a:solidFill>
              <a:schemeClr val="bg1">
                <a:lumMod val="65000"/>
              </a:schemeClr>
            </a:solidFill>
          </c:spPr>
          <c:invertIfNegative val="0"/>
          <c:val>
            <c:numRef>
              <c:f>'Enter Data Here'!$AQ$3:$AQ$43</c:f>
              <c:numCache>
                <c:formatCode>General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FB89-4741-A683-7B805A97F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8667983"/>
        <c:axId val="1"/>
        <c:axId val="2"/>
      </c:bar3DChart>
      <c:catAx>
        <c:axId val="386679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X-Axis</a:t>
                </a:r>
              </a:p>
            </c:rich>
          </c:tx>
          <c:layout>
            <c:manualLayout>
              <c:xMode val="edge"/>
              <c:yMode val="edge"/>
              <c:x val="0.16648165645960922"/>
              <c:y val="0.75367047980933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"/>
        <c:tickMarkSkip val="1"/>
        <c:noMultiLvlLbl val="1"/>
      </c:catAx>
      <c:valAx>
        <c:axId val="1"/>
        <c:scaling>
          <c:orientation val="minMax"/>
          <c:max val="25"/>
        </c:scaling>
        <c:delete val="0"/>
        <c:axPos val="r"/>
        <c:majorGridlines>
          <c:spPr>
            <a:ln w="3175">
              <a:solidFill>
                <a:srgbClr val="FFFFFF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# of Occurences</a:t>
                </a:r>
              </a:p>
            </c:rich>
          </c:tx>
          <c:layout>
            <c:manualLayout>
              <c:xMode val="edge"/>
              <c:yMode val="edge"/>
              <c:x val="0.69700332458442693"/>
              <c:y val="0.546492572454835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67983"/>
        <c:crosses val="max"/>
        <c:crossBetween val="between"/>
        <c:majorUnit val="5"/>
      </c:valAx>
      <c:serAx>
        <c:axId val="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Y-Axis</a:t>
                </a:r>
              </a:p>
            </c:rich>
          </c:tx>
          <c:layout>
            <c:manualLayout>
              <c:xMode val="edge"/>
              <c:yMode val="edge"/>
              <c:x val="0.4861265675123943"/>
              <c:y val="0.9004893285892242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tickLblSkip val="3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Individual</a:t>
            </a:r>
            <a:r>
              <a:rPr lang="en-US" baseline="0"/>
              <a:t> Y Shots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Individual Shots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'Individual Shot Sheets'!$A$2:$A$121</c:f>
              <c:numCache>
                <c:formatCode>General</c:formatCode>
                <c:ptCount val="12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-0.5</c:v>
                </c:pt>
                <c:pt idx="4">
                  <c:v>-0.5</c:v>
                </c:pt>
                <c:pt idx="5">
                  <c:v>0</c:v>
                </c:pt>
                <c:pt idx="6">
                  <c:v>0.5</c:v>
                </c:pt>
                <c:pt idx="7">
                  <c:v>2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-0.5</c:v>
                </c:pt>
                <c:pt idx="12">
                  <c:v>0</c:v>
                </c:pt>
                <c:pt idx="13">
                  <c:v>-0.5</c:v>
                </c:pt>
                <c:pt idx="14">
                  <c:v>0</c:v>
                </c:pt>
                <c:pt idx="15">
                  <c:v>-0.5</c:v>
                </c:pt>
                <c:pt idx="16">
                  <c:v>0.5</c:v>
                </c:pt>
                <c:pt idx="17">
                  <c:v>1</c:v>
                </c:pt>
                <c:pt idx="18">
                  <c:v>-1.5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-0.5</c:v>
                </c:pt>
                <c:pt idx="25">
                  <c:v>0</c:v>
                </c:pt>
                <c:pt idx="26">
                  <c:v>0</c:v>
                </c:pt>
                <c:pt idx="27">
                  <c:v>-0.5</c:v>
                </c:pt>
                <c:pt idx="28">
                  <c:v>0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</c:v>
                </c:pt>
                <c:pt idx="33">
                  <c:v>0.5</c:v>
                </c:pt>
                <c:pt idx="34">
                  <c:v>1.5</c:v>
                </c:pt>
                <c:pt idx="35">
                  <c:v>0</c:v>
                </c:pt>
                <c:pt idx="36">
                  <c:v>0.5</c:v>
                </c:pt>
                <c:pt idx="37">
                  <c:v>0</c:v>
                </c:pt>
                <c:pt idx="38">
                  <c:v>0.5</c:v>
                </c:pt>
                <c:pt idx="39">
                  <c:v>0</c:v>
                </c:pt>
                <c:pt idx="40">
                  <c:v>0</c:v>
                </c:pt>
                <c:pt idx="41">
                  <c:v>-1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1.5</c:v>
                </c:pt>
                <c:pt idx="47">
                  <c:v>-0.5</c:v>
                </c:pt>
                <c:pt idx="48">
                  <c:v>0</c:v>
                </c:pt>
                <c:pt idx="49">
                  <c:v>1.5</c:v>
                </c:pt>
                <c:pt idx="50">
                  <c:v>1</c:v>
                </c:pt>
                <c:pt idx="51">
                  <c:v>0.5</c:v>
                </c:pt>
                <c:pt idx="52">
                  <c:v>0.5</c:v>
                </c:pt>
                <c:pt idx="53">
                  <c:v>1</c:v>
                </c:pt>
                <c:pt idx="54">
                  <c:v>-0.5</c:v>
                </c:pt>
                <c:pt idx="55">
                  <c:v>1.5</c:v>
                </c:pt>
                <c:pt idx="56">
                  <c:v>0.5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0.5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0.5</c:v>
                </c:pt>
                <c:pt idx="68">
                  <c:v>1</c:v>
                </c:pt>
                <c:pt idx="69">
                  <c:v>0.5</c:v>
                </c:pt>
                <c:pt idx="70">
                  <c:v>0</c:v>
                </c:pt>
                <c:pt idx="71">
                  <c:v>0.5</c:v>
                </c:pt>
                <c:pt idx="72">
                  <c:v>0</c:v>
                </c:pt>
                <c:pt idx="73">
                  <c:v>0.5</c:v>
                </c:pt>
                <c:pt idx="74">
                  <c:v>1</c:v>
                </c:pt>
                <c:pt idx="75">
                  <c:v>0</c:v>
                </c:pt>
                <c:pt idx="76">
                  <c:v>0.5</c:v>
                </c:pt>
                <c:pt idx="77">
                  <c:v>0</c:v>
                </c:pt>
                <c:pt idx="78">
                  <c:v>0.5</c:v>
                </c:pt>
                <c:pt idx="79">
                  <c:v>0</c:v>
                </c:pt>
                <c:pt idx="80">
                  <c:v>0.5</c:v>
                </c:pt>
                <c:pt idx="81">
                  <c:v>1</c:v>
                </c:pt>
                <c:pt idx="82">
                  <c:v>0.5</c:v>
                </c:pt>
                <c:pt idx="83">
                  <c:v>0</c:v>
                </c:pt>
                <c:pt idx="84">
                  <c:v>-0.5</c:v>
                </c:pt>
                <c:pt idx="85">
                  <c:v>-1</c:v>
                </c:pt>
                <c:pt idx="86">
                  <c:v>0</c:v>
                </c:pt>
                <c:pt idx="87">
                  <c:v>1</c:v>
                </c:pt>
                <c:pt idx="88">
                  <c:v>0</c:v>
                </c:pt>
                <c:pt idx="89">
                  <c:v>1</c:v>
                </c:pt>
                <c:pt idx="90">
                  <c:v>-1</c:v>
                </c:pt>
                <c:pt idx="91">
                  <c:v>0</c:v>
                </c:pt>
                <c:pt idx="92">
                  <c:v>0.5</c:v>
                </c:pt>
                <c:pt idx="93">
                  <c:v>0.5</c:v>
                </c:pt>
                <c:pt idx="94">
                  <c:v>0</c:v>
                </c:pt>
                <c:pt idx="95">
                  <c:v>0.5</c:v>
                </c:pt>
                <c:pt idx="96">
                  <c:v>-0.5</c:v>
                </c:pt>
                <c:pt idx="97">
                  <c:v>0</c:v>
                </c:pt>
                <c:pt idx="98">
                  <c:v>1</c:v>
                </c:pt>
                <c:pt idx="99">
                  <c:v>0.5</c:v>
                </c:pt>
                <c:pt idx="100">
                  <c:v>2</c:v>
                </c:pt>
                <c:pt idx="101">
                  <c:v>0</c:v>
                </c:pt>
                <c:pt idx="102">
                  <c:v>0.5</c:v>
                </c:pt>
                <c:pt idx="103">
                  <c:v>-0.5</c:v>
                </c:pt>
                <c:pt idx="104">
                  <c:v>0</c:v>
                </c:pt>
                <c:pt idx="105">
                  <c:v>0</c:v>
                </c:pt>
                <c:pt idx="106">
                  <c:v>-0.5</c:v>
                </c:pt>
                <c:pt idx="107">
                  <c:v>-0.5</c:v>
                </c:pt>
                <c:pt idx="108">
                  <c:v>1</c:v>
                </c:pt>
                <c:pt idx="109">
                  <c:v>-0.5</c:v>
                </c:pt>
                <c:pt idx="110">
                  <c:v>0</c:v>
                </c:pt>
                <c:pt idx="111">
                  <c:v>0</c:v>
                </c:pt>
                <c:pt idx="112">
                  <c:v>0.5</c:v>
                </c:pt>
                <c:pt idx="113">
                  <c:v>-0.5</c:v>
                </c:pt>
                <c:pt idx="114">
                  <c:v>1</c:v>
                </c:pt>
                <c:pt idx="115">
                  <c:v>0.5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86-4DC3-A853-A667CBA323CD}"/>
            </c:ext>
          </c:extLst>
        </c:ser>
        <c:ser>
          <c:idx val="1"/>
          <c:order val="1"/>
          <c:tx>
            <c:v>Average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('Individual Shot Sheets'!$F$2,'Individual Shot Sheets'!$G$2)</c:f>
              <c:numCache>
                <c:formatCode>General</c:formatCode>
                <c:ptCount val="2"/>
                <c:pt idx="0">
                  <c:v>1</c:v>
                </c:pt>
                <c:pt idx="1">
                  <c:v>120</c:v>
                </c:pt>
              </c:numCache>
            </c:numRef>
          </c:xVal>
          <c:yVal>
            <c:numRef>
              <c:f>('Individual Shot Sheets'!$F$1,'Individual Shot Sheets'!$F$1)</c:f>
              <c:numCache>
                <c:formatCode>General</c:formatCode>
                <c:ptCount val="2"/>
                <c:pt idx="0">
                  <c:v>0.27916666666666667</c:v>
                </c:pt>
                <c:pt idx="1">
                  <c:v>0.27916666666666667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86-4DC3-A853-A667CBA323CD}"/>
            </c:ext>
          </c:extLst>
        </c:ser>
        <c:ser>
          <c:idx val="2"/>
          <c:order val="2"/>
          <c:tx>
            <c:v>Upper Control Limit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('Individual Shot Sheets'!$F$2,'Individual Shot Sheets'!$G$2)</c:f>
              <c:numCache>
                <c:formatCode>General</c:formatCode>
                <c:ptCount val="2"/>
                <c:pt idx="0">
                  <c:v>1</c:v>
                </c:pt>
                <c:pt idx="1">
                  <c:v>120</c:v>
                </c:pt>
              </c:numCache>
            </c:numRef>
          </c:xVal>
          <c:yVal>
            <c:numRef>
              <c:f>('Individual Shot Sheets'!$F$6,'Individual Shot Sheets'!$F$6)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186-4DC3-A853-A667CBA323CD}"/>
            </c:ext>
          </c:extLst>
        </c:ser>
        <c:ser>
          <c:idx val="3"/>
          <c:order val="3"/>
          <c:tx>
            <c:v>Lower Control Limit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('Individual Shot Sheets'!$F$2,'Individual Shot Sheets'!$G$2)</c:f>
              <c:numCache>
                <c:formatCode>General</c:formatCode>
                <c:ptCount val="2"/>
                <c:pt idx="0">
                  <c:v>1</c:v>
                </c:pt>
                <c:pt idx="1">
                  <c:v>120</c:v>
                </c:pt>
              </c:numCache>
            </c:numRef>
          </c:xVal>
          <c:yVal>
            <c:numRef>
              <c:f>('Individual Shot Sheets'!$F$8,'Individual Shot Sheets'!$F$8)</c:f>
              <c:numCache>
                <c:formatCode>General</c:formatCode>
                <c:ptCount val="2"/>
                <c:pt idx="0">
                  <c:v>-2</c:v>
                </c:pt>
                <c:pt idx="1">
                  <c:v>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186-4DC3-A853-A667CBA32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3222000"/>
        <c:axId val="1126098352"/>
      </c:scatterChart>
      <c:valAx>
        <c:axId val="139322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Shots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098352"/>
        <c:crosses val="autoZero"/>
        <c:crossBetween val="midCat"/>
      </c:valAx>
      <c:valAx>
        <c:axId val="112609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Grid Location</a:t>
                </a:r>
                <a:r>
                  <a:rPr lang="en-US" baseline="0"/>
                  <a:t> (in)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3222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Individual</a:t>
            </a:r>
            <a:r>
              <a:rPr lang="en-US" baseline="0"/>
              <a:t> Y Shots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Individual Shots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'Individual Shot Sheets'!$B$2:$B$121</c:f>
              <c:numCache>
                <c:formatCode>General</c:formatCode>
                <c:ptCount val="120"/>
                <c:pt idx="0">
                  <c:v>6.5</c:v>
                </c:pt>
                <c:pt idx="1">
                  <c:v>-3.5</c:v>
                </c:pt>
                <c:pt idx="2">
                  <c:v>-3.5</c:v>
                </c:pt>
                <c:pt idx="3">
                  <c:v>-8.5</c:v>
                </c:pt>
                <c:pt idx="4">
                  <c:v>-2.5</c:v>
                </c:pt>
                <c:pt idx="5">
                  <c:v>0</c:v>
                </c:pt>
                <c:pt idx="6">
                  <c:v>3.5</c:v>
                </c:pt>
                <c:pt idx="7">
                  <c:v>3</c:v>
                </c:pt>
                <c:pt idx="8">
                  <c:v>-6</c:v>
                </c:pt>
                <c:pt idx="9">
                  <c:v>-2</c:v>
                </c:pt>
                <c:pt idx="10">
                  <c:v>-3.5</c:v>
                </c:pt>
                <c:pt idx="11">
                  <c:v>-1.5</c:v>
                </c:pt>
                <c:pt idx="12">
                  <c:v>-7.5</c:v>
                </c:pt>
                <c:pt idx="13">
                  <c:v>-2.5</c:v>
                </c:pt>
                <c:pt idx="14">
                  <c:v>-4.5</c:v>
                </c:pt>
                <c:pt idx="15">
                  <c:v>-8.5</c:v>
                </c:pt>
                <c:pt idx="16">
                  <c:v>-2.5</c:v>
                </c:pt>
                <c:pt idx="17">
                  <c:v>-5</c:v>
                </c:pt>
                <c:pt idx="18">
                  <c:v>-0.5</c:v>
                </c:pt>
                <c:pt idx="19">
                  <c:v>4</c:v>
                </c:pt>
                <c:pt idx="20">
                  <c:v>-3</c:v>
                </c:pt>
                <c:pt idx="21">
                  <c:v>-0.5</c:v>
                </c:pt>
                <c:pt idx="22">
                  <c:v>-4.5</c:v>
                </c:pt>
                <c:pt idx="23">
                  <c:v>-4</c:v>
                </c:pt>
                <c:pt idx="24">
                  <c:v>-1.5</c:v>
                </c:pt>
                <c:pt idx="25">
                  <c:v>-3</c:v>
                </c:pt>
                <c:pt idx="26">
                  <c:v>-2</c:v>
                </c:pt>
                <c:pt idx="27">
                  <c:v>1.5</c:v>
                </c:pt>
                <c:pt idx="28">
                  <c:v>-1.5</c:v>
                </c:pt>
                <c:pt idx="29">
                  <c:v>-3</c:v>
                </c:pt>
                <c:pt idx="30">
                  <c:v>-1</c:v>
                </c:pt>
                <c:pt idx="31">
                  <c:v>-6.5</c:v>
                </c:pt>
                <c:pt idx="32">
                  <c:v>-6.5</c:v>
                </c:pt>
                <c:pt idx="33">
                  <c:v>-5</c:v>
                </c:pt>
                <c:pt idx="34">
                  <c:v>-2.5</c:v>
                </c:pt>
                <c:pt idx="35">
                  <c:v>-4</c:v>
                </c:pt>
                <c:pt idx="36">
                  <c:v>-4</c:v>
                </c:pt>
                <c:pt idx="37">
                  <c:v>-3</c:v>
                </c:pt>
                <c:pt idx="38">
                  <c:v>-5.5</c:v>
                </c:pt>
                <c:pt idx="39">
                  <c:v>-4.5</c:v>
                </c:pt>
                <c:pt idx="40">
                  <c:v>8.5</c:v>
                </c:pt>
                <c:pt idx="41">
                  <c:v>6</c:v>
                </c:pt>
                <c:pt idx="42">
                  <c:v>-1.5</c:v>
                </c:pt>
                <c:pt idx="43">
                  <c:v>-6</c:v>
                </c:pt>
                <c:pt idx="44">
                  <c:v>6.5</c:v>
                </c:pt>
                <c:pt idx="45">
                  <c:v>1</c:v>
                </c:pt>
                <c:pt idx="46">
                  <c:v>6.5</c:v>
                </c:pt>
                <c:pt idx="47">
                  <c:v>8</c:v>
                </c:pt>
                <c:pt idx="48">
                  <c:v>2.5</c:v>
                </c:pt>
                <c:pt idx="49">
                  <c:v>-0.5</c:v>
                </c:pt>
                <c:pt idx="50">
                  <c:v>6</c:v>
                </c:pt>
                <c:pt idx="51">
                  <c:v>3</c:v>
                </c:pt>
                <c:pt idx="52">
                  <c:v>8</c:v>
                </c:pt>
                <c:pt idx="53">
                  <c:v>6</c:v>
                </c:pt>
                <c:pt idx="54">
                  <c:v>-2.5</c:v>
                </c:pt>
                <c:pt idx="55">
                  <c:v>-2</c:v>
                </c:pt>
                <c:pt idx="56">
                  <c:v>8</c:v>
                </c:pt>
                <c:pt idx="57">
                  <c:v>1.5</c:v>
                </c:pt>
                <c:pt idx="58">
                  <c:v>-5</c:v>
                </c:pt>
                <c:pt idx="59">
                  <c:v>1</c:v>
                </c:pt>
                <c:pt idx="60">
                  <c:v>2.5</c:v>
                </c:pt>
                <c:pt idx="61">
                  <c:v>-3</c:v>
                </c:pt>
                <c:pt idx="62">
                  <c:v>-2</c:v>
                </c:pt>
                <c:pt idx="63">
                  <c:v>0.5</c:v>
                </c:pt>
                <c:pt idx="64">
                  <c:v>-3</c:v>
                </c:pt>
                <c:pt idx="65">
                  <c:v>-2.5</c:v>
                </c:pt>
                <c:pt idx="66">
                  <c:v>1.5</c:v>
                </c:pt>
                <c:pt idx="67">
                  <c:v>-3.5</c:v>
                </c:pt>
                <c:pt idx="68">
                  <c:v>0</c:v>
                </c:pt>
                <c:pt idx="69">
                  <c:v>-4</c:v>
                </c:pt>
                <c:pt idx="70">
                  <c:v>-2.5</c:v>
                </c:pt>
                <c:pt idx="71">
                  <c:v>-4.5</c:v>
                </c:pt>
                <c:pt idx="72">
                  <c:v>-5</c:v>
                </c:pt>
                <c:pt idx="73">
                  <c:v>0.5</c:v>
                </c:pt>
                <c:pt idx="74">
                  <c:v>-1</c:v>
                </c:pt>
                <c:pt idx="75">
                  <c:v>-4</c:v>
                </c:pt>
                <c:pt idx="76">
                  <c:v>0.5</c:v>
                </c:pt>
                <c:pt idx="77">
                  <c:v>-3</c:v>
                </c:pt>
                <c:pt idx="78">
                  <c:v>-0.5</c:v>
                </c:pt>
                <c:pt idx="79">
                  <c:v>-2.5</c:v>
                </c:pt>
                <c:pt idx="80">
                  <c:v>7</c:v>
                </c:pt>
                <c:pt idx="81">
                  <c:v>3</c:v>
                </c:pt>
                <c:pt idx="82">
                  <c:v>-1</c:v>
                </c:pt>
                <c:pt idx="83">
                  <c:v>-3</c:v>
                </c:pt>
                <c:pt idx="84">
                  <c:v>-3.5</c:v>
                </c:pt>
                <c:pt idx="85">
                  <c:v>-6.5</c:v>
                </c:pt>
                <c:pt idx="86">
                  <c:v>-1.5</c:v>
                </c:pt>
                <c:pt idx="87">
                  <c:v>-1</c:v>
                </c:pt>
                <c:pt idx="88">
                  <c:v>4</c:v>
                </c:pt>
                <c:pt idx="89">
                  <c:v>-3</c:v>
                </c:pt>
                <c:pt idx="90">
                  <c:v>-4.5</c:v>
                </c:pt>
                <c:pt idx="91">
                  <c:v>-0.5</c:v>
                </c:pt>
                <c:pt idx="92">
                  <c:v>-0.5</c:v>
                </c:pt>
                <c:pt idx="93">
                  <c:v>-1.5</c:v>
                </c:pt>
                <c:pt idx="94">
                  <c:v>-3</c:v>
                </c:pt>
                <c:pt idx="95">
                  <c:v>-4.5</c:v>
                </c:pt>
                <c:pt idx="96">
                  <c:v>-6</c:v>
                </c:pt>
                <c:pt idx="97">
                  <c:v>-3</c:v>
                </c:pt>
                <c:pt idx="98">
                  <c:v>0</c:v>
                </c:pt>
                <c:pt idx="99">
                  <c:v>-2</c:v>
                </c:pt>
                <c:pt idx="100">
                  <c:v>0.5</c:v>
                </c:pt>
                <c:pt idx="101">
                  <c:v>-1.5</c:v>
                </c:pt>
                <c:pt idx="102">
                  <c:v>5</c:v>
                </c:pt>
                <c:pt idx="103">
                  <c:v>4</c:v>
                </c:pt>
                <c:pt idx="104">
                  <c:v>2.5</c:v>
                </c:pt>
                <c:pt idx="105">
                  <c:v>1</c:v>
                </c:pt>
                <c:pt idx="106">
                  <c:v>1</c:v>
                </c:pt>
                <c:pt idx="107">
                  <c:v>-1.5</c:v>
                </c:pt>
                <c:pt idx="108">
                  <c:v>3.5</c:v>
                </c:pt>
                <c:pt idx="109">
                  <c:v>0.5</c:v>
                </c:pt>
                <c:pt idx="110">
                  <c:v>2.5</c:v>
                </c:pt>
                <c:pt idx="111">
                  <c:v>0</c:v>
                </c:pt>
                <c:pt idx="112">
                  <c:v>1</c:v>
                </c:pt>
                <c:pt idx="113">
                  <c:v>-2.5</c:v>
                </c:pt>
                <c:pt idx="114">
                  <c:v>3</c:v>
                </c:pt>
                <c:pt idx="115">
                  <c:v>2.5</c:v>
                </c:pt>
                <c:pt idx="116">
                  <c:v>0</c:v>
                </c:pt>
                <c:pt idx="117">
                  <c:v>0.5</c:v>
                </c:pt>
                <c:pt idx="118">
                  <c:v>5</c:v>
                </c:pt>
                <c:pt idx="119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7D-4826-B763-10B0207B8569}"/>
            </c:ext>
          </c:extLst>
        </c:ser>
        <c:ser>
          <c:idx val="1"/>
          <c:order val="1"/>
          <c:tx>
            <c:v>Average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('Individual Shot Sheets'!$F$2,'Individual Shot Sheets'!$G$2)</c:f>
              <c:numCache>
                <c:formatCode>General</c:formatCode>
                <c:ptCount val="2"/>
                <c:pt idx="0">
                  <c:v>1</c:v>
                </c:pt>
                <c:pt idx="1">
                  <c:v>120</c:v>
                </c:pt>
              </c:numCache>
            </c:numRef>
          </c:xVal>
          <c:yVal>
            <c:numRef>
              <c:f>('Individual Shot Sheets'!$F$18,'Individual Shot Sheets'!$F$18)</c:f>
              <c:numCache>
                <c:formatCode>General</c:formatCode>
                <c:ptCount val="2"/>
                <c:pt idx="0">
                  <c:v>-0.73750000000000004</c:v>
                </c:pt>
                <c:pt idx="1">
                  <c:v>-0.73750000000000004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7D-4826-B763-10B0207B8569}"/>
            </c:ext>
          </c:extLst>
        </c:ser>
        <c:ser>
          <c:idx val="2"/>
          <c:order val="2"/>
          <c:tx>
            <c:v>Upper Control Limit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('Individual Shot Sheets'!$F$2,'Individual Shot Sheets'!$G$2)</c:f>
              <c:numCache>
                <c:formatCode>General</c:formatCode>
                <c:ptCount val="2"/>
                <c:pt idx="0">
                  <c:v>1</c:v>
                </c:pt>
                <c:pt idx="1">
                  <c:v>120</c:v>
                </c:pt>
              </c:numCache>
            </c:numRef>
          </c:xVal>
          <c:yVal>
            <c:numRef>
              <c:f>('Individual Shot Sheets'!$F$22,'Individual Shot Sheets'!$F$22)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A7D-4826-B763-10B0207B8569}"/>
            </c:ext>
          </c:extLst>
        </c:ser>
        <c:ser>
          <c:idx val="3"/>
          <c:order val="3"/>
          <c:tx>
            <c:v>Lower Control Limit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('Individual Shot Sheets'!$F$2,'Individual Shot Sheets'!$G$2)</c:f>
              <c:numCache>
                <c:formatCode>General</c:formatCode>
                <c:ptCount val="2"/>
                <c:pt idx="0">
                  <c:v>1</c:v>
                </c:pt>
                <c:pt idx="1">
                  <c:v>120</c:v>
                </c:pt>
              </c:numCache>
            </c:numRef>
          </c:xVal>
          <c:yVal>
            <c:numRef>
              <c:f>('Individual Shot Sheets'!$F$24,'Individual Shot Sheets'!$F$24)</c:f>
              <c:numCache>
                <c:formatCode>General</c:formatCode>
                <c:ptCount val="2"/>
                <c:pt idx="0">
                  <c:v>-2</c:v>
                </c:pt>
                <c:pt idx="1">
                  <c:v>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A7D-4826-B763-10B0207B8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3222000"/>
        <c:axId val="1126098352"/>
      </c:scatterChart>
      <c:valAx>
        <c:axId val="1393222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Shots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098352"/>
        <c:crosses val="autoZero"/>
        <c:crossBetween val="midCat"/>
      </c:valAx>
      <c:valAx>
        <c:axId val="112609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Grid Location</a:t>
                </a:r>
                <a:r>
                  <a:rPr lang="en-US" baseline="0"/>
                  <a:t> (in)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3222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Individual Moving Range 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Moving Range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yVal>
            <c:numRef>
              <c:f>'Moving Sheets'!$A$2:$A$120</c:f>
              <c:numCache>
                <c:formatCode>General</c:formatCode>
                <c:ptCount val="119"/>
                <c:pt idx="0">
                  <c:v>0.5</c:v>
                </c:pt>
                <c:pt idx="1">
                  <c:v>0.5</c:v>
                </c:pt>
                <c:pt idx="2">
                  <c:v>1.5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1.5</c:v>
                </c:pt>
                <c:pt idx="7">
                  <c:v>1.5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1</c:v>
                </c:pt>
                <c:pt idx="16">
                  <c:v>0.5</c:v>
                </c:pt>
                <c:pt idx="17">
                  <c:v>2.5</c:v>
                </c:pt>
                <c:pt idx="18">
                  <c:v>2.5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1.5</c:v>
                </c:pt>
                <c:pt idx="24">
                  <c:v>0.5</c:v>
                </c:pt>
                <c:pt idx="25">
                  <c:v>0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</c:v>
                </c:pt>
                <c:pt idx="30">
                  <c:v>0</c:v>
                </c:pt>
                <c:pt idx="31">
                  <c:v>0.5</c:v>
                </c:pt>
                <c:pt idx="32">
                  <c:v>0.5</c:v>
                </c:pt>
                <c:pt idx="33">
                  <c:v>1</c:v>
                </c:pt>
                <c:pt idx="34">
                  <c:v>1.5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0</c:v>
                </c:pt>
                <c:pt idx="45">
                  <c:v>1.5</c:v>
                </c:pt>
                <c:pt idx="46">
                  <c:v>2</c:v>
                </c:pt>
                <c:pt idx="47">
                  <c:v>0.5</c:v>
                </c:pt>
                <c:pt idx="48">
                  <c:v>1.5</c:v>
                </c:pt>
                <c:pt idx="49">
                  <c:v>0.5</c:v>
                </c:pt>
                <c:pt idx="50">
                  <c:v>0.5</c:v>
                </c:pt>
                <c:pt idx="51">
                  <c:v>0</c:v>
                </c:pt>
                <c:pt idx="52">
                  <c:v>0.5</c:v>
                </c:pt>
                <c:pt idx="53">
                  <c:v>1.5</c:v>
                </c:pt>
                <c:pt idx="54">
                  <c:v>2</c:v>
                </c:pt>
                <c:pt idx="55">
                  <c:v>1</c:v>
                </c:pt>
                <c:pt idx="56">
                  <c:v>0.5</c:v>
                </c:pt>
                <c:pt idx="57">
                  <c:v>1</c:v>
                </c:pt>
                <c:pt idx="58">
                  <c:v>0</c:v>
                </c:pt>
                <c:pt idx="59">
                  <c:v>0</c:v>
                </c:pt>
                <c:pt idx="60">
                  <c:v>0.5</c:v>
                </c:pt>
                <c:pt idx="61">
                  <c:v>0.5</c:v>
                </c:pt>
                <c:pt idx="62">
                  <c:v>0</c:v>
                </c:pt>
                <c:pt idx="63">
                  <c:v>1</c:v>
                </c:pt>
                <c:pt idx="64">
                  <c:v>0</c:v>
                </c:pt>
                <c:pt idx="65">
                  <c:v>0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1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2</c:v>
                </c:pt>
                <c:pt idx="90">
                  <c:v>1</c:v>
                </c:pt>
                <c:pt idx="91">
                  <c:v>0.5</c:v>
                </c:pt>
                <c:pt idx="92">
                  <c:v>0</c:v>
                </c:pt>
                <c:pt idx="93">
                  <c:v>0.5</c:v>
                </c:pt>
                <c:pt idx="94">
                  <c:v>0.5</c:v>
                </c:pt>
                <c:pt idx="95">
                  <c:v>1</c:v>
                </c:pt>
                <c:pt idx="96">
                  <c:v>0.5</c:v>
                </c:pt>
                <c:pt idx="97">
                  <c:v>1</c:v>
                </c:pt>
                <c:pt idx="98">
                  <c:v>0.5</c:v>
                </c:pt>
                <c:pt idx="99">
                  <c:v>1.5</c:v>
                </c:pt>
                <c:pt idx="100">
                  <c:v>2</c:v>
                </c:pt>
                <c:pt idx="101">
                  <c:v>0.5</c:v>
                </c:pt>
                <c:pt idx="102">
                  <c:v>1</c:v>
                </c:pt>
                <c:pt idx="103">
                  <c:v>0.5</c:v>
                </c:pt>
                <c:pt idx="104">
                  <c:v>0</c:v>
                </c:pt>
                <c:pt idx="105">
                  <c:v>0.5</c:v>
                </c:pt>
                <c:pt idx="106">
                  <c:v>0</c:v>
                </c:pt>
                <c:pt idx="107">
                  <c:v>1.5</c:v>
                </c:pt>
                <c:pt idx="108">
                  <c:v>1.5</c:v>
                </c:pt>
                <c:pt idx="109">
                  <c:v>0.5</c:v>
                </c:pt>
                <c:pt idx="110">
                  <c:v>0</c:v>
                </c:pt>
                <c:pt idx="111">
                  <c:v>0.5</c:v>
                </c:pt>
                <c:pt idx="112">
                  <c:v>1</c:v>
                </c:pt>
                <c:pt idx="113">
                  <c:v>1.5</c:v>
                </c:pt>
                <c:pt idx="114">
                  <c:v>0.5</c:v>
                </c:pt>
                <c:pt idx="115">
                  <c:v>0.5</c:v>
                </c:pt>
                <c:pt idx="116">
                  <c:v>1</c:v>
                </c:pt>
                <c:pt idx="117">
                  <c:v>1</c:v>
                </c:pt>
                <c:pt idx="118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996-4D27-995C-CAD48D7B21A1}"/>
            </c:ext>
          </c:extLst>
        </c:ser>
        <c:ser>
          <c:idx val="1"/>
          <c:order val="1"/>
          <c:tx>
            <c:v>Average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numRef>
              <c:f>('Moving Sheets'!$F$2,'Moving Sheets'!$G$2)</c:f>
              <c:numCache>
                <c:formatCode>General</c:formatCode>
                <c:ptCount val="2"/>
                <c:pt idx="0">
                  <c:v>1</c:v>
                </c:pt>
                <c:pt idx="1">
                  <c:v>119</c:v>
                </c:pt>
              </c:numCache>
            </c:numRef>
          </c:xVal>
          <c:yVal>
            <c:numRef>
              <c:f>('Moving Sheets'!$F$1,'Moving Sheets'!$F$1)</c:f>
              <c:numCache>
                <c:formatCode>General</c:formatCode>
                <c:ptCount val="2"/>
                <c:pt idx="0">
                  <c:v>0.70168067226890751</c:v>
                </c:pt>
                <c:pt idx="1">
                  <c:v>0.70168067226890751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96-4D27-995C-CAD48D7B21A1}"/>
            </c:ext>
          </c:extLst>
        </c:ser>
        <c:ser>
          <c:idx val="2"/>
          <c:order val="2"/>
          <c:tx>
            <c:v>Upper Control Limit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elete val="1"/>
          </c:dLbls>
          <c:xVal>
            <c:numRef>
              <c:f>('Moving Sheets'!$F$2,'Moving Sheets'!$G$2)</c:f>
              <c:numCache>
                <c:formatCode>General</c:formatCode>
                <c:ptCount val="2"/>
                <c:pt idx="0">
                  <c:v>1</c:v>
                </c:pt>
                <c:pt idx="1">
                  <c:v>119</c:v>
                </c:pt>
              </c:numCache>
            </c:numRef>
          </c:xVal>
          <c:yVal>
            <c:numRef>
              <c:f>('Moving Sheets'!$F$4,'Moving Sheets'!$F$4)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996-4D27-995C-CAD48D7B21A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578078160"/>
        <c:axId val="589549904"/>
      </c:scatterChart>
      <c:valAx>
        <c:axId val="578078160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549904"/>
        <c:crosses val="autoZero"/>
        <c:crossBetween val="midCat"/>
      </c:valAx>
      <c:valAx>
        <c:axId val="589549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Moving Range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8078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Individual Moving Range 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Moving Range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'Moving Sheets'!$B$2:$B$120</c:f>
              <c:numCache>
                <c:formatCode>General</c:formatCode>
                <c:ptCount val="119"/>
                <c:pt idx="0">
                  <c:v>10</c:v>
                </c:pt>
                <c:pt idx="1">
                  <c:v>0</c:v>
                </c:pt>
                <c:pt idx="2">
                  <c:v>5</c:v>
                </c:pt>
                <c:pt idx="3">
                  <c:v>6</c:v>
                </c:pt>
                <c:pt idx="4">
                  <c:v>2.5</c:v>
                </c:pt>
                <c:pt idx="5">
                  <c:v>3.5</c:v>
                </c:pt>
                <c:pt idx="6">
                  <c:v>0.5</c:v>
                </c:pt>
                <c:pt idx="7">
                  <c:v>9</c:v>
                </c:pt>
                <c:pt idx="8">
                  <c:v>4</c:v>
                </c:pt>
                <c:pt idx="9">
                  <c:v>1.5</c:v>
                </c:pt>
                <c:pt idx="10">
                  <c:v>2</c:v>
                </c:pt>
                <c:pt idx="11">
                  <c:v>6</c:v>
                </c:pt>
                <c:pt idx="12">
                  <c:v>5</c:v>
                </c:pt>
                <c:pt idx="13">
                  <c:v>2</c:v>
                </c:pt>
                <c:pt idx="14">
                  <c:v>4</c:v>
                </c:pt>
                <c:pt idx="15">
                  <c:v>6</c:v>
                </c:pt>
                <c:pt idx="16">
                  <c:v>2.5</c:v>
                </c:pt>
                <c:pt idx="17">
                  <c:v>4.5</c:v>
                </c:pt>
                <c:pt idx="18">
                  <c:v>4.5</c:v>
                </c:pt>
                <c:pt idx="19">
                  <c:v>7</c:v>
                </c:pt>
                <c:pt idx="20">
                  <c:v>2.5</c:v>
                </c:pt>
                <c:pt idx="21">
                  <c:v>4</c:v>
                </c:pt>
                <c:pt idx="22">
                  <c:v>0.5</c:v>
                </c:pt>
                <c:pt idx="23">
                  <c:v>2.5</c:v>
                </c:pt>
                <c:pt idx="24">
                  <c:v>1.5</c:v>
                </c:pt>
                <c:pt idx="25">
                  <c:v>1</c:v>
                </c:pt>
                <c:pt idx="26">
                  <c:v>3.5</c:v>
                </c:pt>
                <c:pt idx="27">
                  <c:v>3</c:v>
                </c:pt>
                <c:pt idx="28">
                  <c:v>1.5</c:v>
                </c:pt>
                <c:pt idx="29">
                  <c:v>2</c:v>
                </c:pt>
                <c:pt idx="30">
                  <c:v>5.5</c:v>
                </c:pt>
                <c:pt idx="31">
                  <c:v>0</c:v>
                </c:pt>
                <c:pt idx="32">
                  <c:v>1.5</c:v>
                </c:pt>
                <c:pt idx="33">
                  <c:v>2.5</c:v>
                </c:pt>
                <c:pt idx="34">
                  <c:v>1.5</c:v>
                </c:pt>
                <c:pt idx="35">
                  <c:v>0</c:v>
                </c:pt>
                <c:pt idx="36">
                  <c:v>1</c:v>
                </c:pt>
                <c:pt idx="37">
                  <c:v>2.5</c:v>
                </c:pt>
                <c:pt idx="38">
                  <c:v>1</c:v>
                </c:pt>
                <c:pt idx="39">
                  <c:v>13</c:v>
                </c:pt>
                <c:pt idx="40">
                  <c:v>2.5</c:v>
                </c:pt>
                <c:pt idx="41">
                  <c:v>7.5</c:v>
                </c:pt>
                <c:pt idx="42">
                  <c:v>4.5</c:v>
                </c:pt>
                <c:pt idx="43">
                  <c:v>12.5</c:v>
                </c:pt>
                <c:pt idx="44">
                  <c:v>5.5</c:v>
                </c:pt>
                <c:pt idx="45">
                  <c:v>5.5</c:v>
                </c:pt>
                <c:pt idx="46">
                  <c:v>1.5</c:v>
                </c:pt>
                <c:pt idx="47">
                  <c:v>5.5</c:v>
                </c:pt>
                <c:pt idx="48">
                  <c:v>3</c:v>
                </c:pt>
                <c:pt idx="49">
                  <c:v>6.5</c:v>
                </c:pt>
                <c:pt idx="50">
                  <c:v>3</c:v>
                </c:pt>
                <c:pt idx="51">
                  <c:v>5</c:v>
                </c:pt>
                <c:pt idx="52">
                  <c:v>2</c:v>
                </c:pt>
                <c:pt idx="53">
                  <c:v>8.5</c:v>
                </c:pt>
                <c:pt idx="54">
                  <c:v>0.5</c:v>
                </c:pt>
                <c:pt idx="55">
                  <c:v>10</c:v>
                </c:pt>
                <c:pt idx="56">
                  <c:v>6.5</c:v>
                </c:pt>
                <c:pt idx="57">
                  <c:v>6.5</c:v>
                </c:pt>
                <c:pt idx="58">
                  <c:v>6</c:v>
                </c:pt>
                <c:pt idx="59">
                  <c:v>1.5</c:v>
                </c:pt>
                <c:pt idx="60">
                  <c:v>5.5</c:v>
                </c:pt>
                <c:pt idx="61">
                  <c:v>1</c:v>
                </c:pt>
                <c:pt idx="62">
                  <c:v>2.5</c:v>
                </c:pt>
                <c:pt idx="63">
                  <c:v>3.5</c:v>
                </c:pt>
                <c:pt idx="64">
                  <c:v>0.5</c:v>
                </c:pt>
                <c:pt idx="65">
                  <c:v>4</c:v>
                </c:pt>
                <c:pt idx="66">
                  <c:v>5</c:v>
                </c:pt>
                <c:pt idx="67">
                  <c:v>3.5</c:v>
                </c:pt>
                <c:pt idx="68">
                  <c:v>4</c:v>
                </c:pt>
                <c:pt idx="69">
                  <c:v>1.5</c:v>
                </c:pt>
                <c:pt idx="70">
                  <c:v>2</c:v>
                </c:pt>
                <c:pt idx="71">
                  <c:v>0.5</c:v>
                </c:pt>
                <c:pt idx="72">
                  <c:v>5.5</c:v>
                </c:pt>
                <c:pt idx="73">
                  <c:v>1.5</c:v>
                </c:pt>
                <c:pt idx="74">
                  <c:v>3</c:v>
                </c:pt>
                <c:pt idx="75">
                  <c:v>4.5</c:v>
                </c:pt>
                <c:pt idx="76">
                  <c:v>3.5</c:v>
                </c:pt>
                <c:pt idx="77">
                  <c:v>2.5</c:v>
                </c:pt>
                <c:pt idx="78">
                  <c:v>2</c:v>
                </c:pt>
                <c:pt idx="79">
                  <c:v>9.5</c:v>
                </c:pt>
                <c:pt idx="80">
                  <c:v>4</c:v>
                </c:pt>
                <c:pt idx="81">
                  <c:v>4</c:v>
                </c:pt>
                <c:pt idx="82">
                  <c:v>2</c:v>
                </c:pt>
                <c:pt idx="83">
                  <c:v>0.5</c:v>
                </c:pt>
                <c:pt idx="84">
                  <c:v>3</c:v>
                </c:pt>
                <c:pt idx="85">
                  <c:v>5</c:v>
                </c:pt>
                <c:pt idx="86">
                  <c:v>0.5</c:v>
                </c:pt>
                <c:pt idx="87">
                  <c:v>5</c:v>
                </c:pt>
                <c:pt idx="88">
                  <c:v>7</c:v>
                </c:pt>
                <c:pt idx="89">
                  <c:v>1.5</c:v>
                </c:pt>
                <c:pt idx="90">
                  <c:v>4</c:v>
                </c:pt>
                <c:pt idx="91">
                  <c:v>0</c:v>
                </c:pt>
                <c:pt idx="92">
                  <c:v>1</c:v>
                </c:pt>
                <c:pt idx="93">
                  <c:v>1.5</c:v>
                </c:pt>
                <c:pt idx="94">
                  <c:v>1.5</c:v>
                </c:pt>
                <c:pt idx="95">
                  <c:v>1.5</c:v>
                </c:pt>
                <c:pt idx="96">
                  <c:v>3</c:v>
                </c:pt>
                <c:pt idx="97">
                  <c:v>3</c:v>
                </c:pt>
                <c:pt idx="98">
                  <c:v>2</c:v>
                </c:pt>
                <c:pt idx="99">
                  <c:v>2.5</c:v>
                </c:pt>
                <c:pt idx="100">
                  <c:v>2</c:v>
                </c:pt>
                <c:pt idx="101">
                  <c:v>6.5</c:v>
                </c:pt>
                <c:pt idx="102">
                  <c:v>1</c:v>
                </c:pt>
                <c:pt idx="103">
                  <c:v>1.5</c:v>
                </c:pt>
                <c:pt idx="104">
                  <c:v>1.5</c:v>
                </c:pt>
                <c:pt idx="105">
                  <c:v>0</c:v>
                </c:pt>
                <c:pt idx="106">
                  <c:v>2.5</c:v>
                </c:pt>
                <c:pt idx="107">
                  <c:v>5</c:v>
                </c:pt>
                <c:pt idx="108">
                  <c:v>3</c:v>
                </c:pt>
                <c:pt idx="109">
                  <c:v>2</c:v>
                </c:pt>
                <c:pt idx="110">
                  <c:v>2.5</c:v>
                </c:pt>
                <c:pt idx="111">
                  <c:v>1</c:v>
                </c:pt>
                <c:pt idx="112">
                  <c:v>3.5</c:v>
                </c:pt>
                <c:pt idx="113">
                  <c:v>5.5</c:v>
                </c:pt>
                <c:pt idx="114">
                  <c:v>0.5</c:v>
                </c:pt>
                <c:pt idx="115">
                  <c:v>2.5</c:v>
                </c:pt>
                <c:pt idx="116">
                  <c:v>0.5</c:v>
                </c:pt>
                <c:pt idx="117">
                  <c:v>4.5</c:v>
                </c:pt>
                <c:pt idx="1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FC-4022-AEB2-F2C21010D673}"/>
            </c:ext>
          </c:extLst>
        </c:ser>
        <c:ser>
          <c:idx val="1"/>
          <c:order val="1"/>
          <c:tx>
            <c:v>Average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('Moving Sheets'!$F$2,'Moving Sheets'!$G$2)</c:f>
              <c:numCache>
                <c:formatCode>General</c:formatCode>
                <c:ptCount val="2"/>
                <c:pt idx="0">
                  <c:v>1</c:v>
                </c:pt>
                <c:pt idx="1">
                  <c:v>119</c:v>
                </c:pt>
              </c:numCache>
            </c:numRef>
          </c:xVal>
          <c:yVal>
            <c:numRef>
              <c:f>('Moving Sheets'!$F$42,'Moving Sheets'!$F$42)</c:f>
              <c:numCache>
                <c:formatCode>General</c:formatCode>
                <c:ptCount val="2"/>
                <c:pt idx="0">
                  <c:v>3.3907563025210083</c:v>
                </c:pt>
                <c:pt idx="1">
                  <c:v>3.3907563025210083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FC-4022-AEB2-F2C21010D673}"/>
            </c:ext>
          </c:extLst>
        </c:ser>
        <c:ser>
          <c:idx val="2"/>
          <c:order val="2"/>
          <c:tx>
            <c:v>Upper Control Limit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('Moving Sheets'!$F$2,'Moving Sheets'!$G$2)</c:f>
              <c:numCache>
                <c:formatCode>General</c:formatCode>
                <c:ptCount val="2"/>
                <c:pt idx="0">
                  <c:v>1</c:v>
                </c:pt>
                <c:pt idx="1">
                  <c:v>119</c:v>
                </c:pt>
              </c:numCache>
            </c:numRef>
          </c:xVal>
          <c:yVal>
            <c:numRef>
              <c:f>('Moving Sheets'!$F$45,'Moving Sheets'!$F$45)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FC-4022-AEB2-F2C21010D6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7889872"/>
        <c:axId val="404472704"/>
      </c:scatterChart>
      <c:valAx>
        <c:axId val="637889872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472704"/>
        <c:crosses val="autoZero"/>
        <c:crossBetween val="midCat"/>
      </c:valAx>
      <c:valAx>
        <c:axId val="40447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Moving Range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7889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Moving Average X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'Simple Moving Average Charts'!$E$5:$E$122</c:f>
              <c:numCache>
                <c:formatCode>General</c:formatCode>
                <c:ptCount val="118"/>
                <c:pt idx="0">
                  <c:v>0.5</c:v>
                </c:pt>
                <c:pt idx="1">
                  <c:v>0.33333333333333331</c:v>
                </c:pt>
                <c:pt idx="2">
                  <c:v>0</c:v>
                </c:pt>
                <c:pt idx="3">
                  <c:v>-0.33333333333333331</c:v>
                </c:pt>
                <c:pt idx="4">
                  <c:v>0</c:v>
                </c:pt>
                <c:pt idx="5">
                  <c:v>0.83333333333333337</c:v>
                </c:pt>
                <c:pt idx="6">
                  <c:v>1</c:v>
                </c:pt>
                <c:pt idx="7">
                  <c:v>1</c:v>
                </c:pt>
                <c:pt idx="8">
                  <c:v>0.5</c:v>
                </c:pt>
                <c:pt idx="9">
                  <c:v>0.16666666666666666</c:v>
                </c:pt>
                <c:pt idx="10">
                  <c:v>0</c:v>
                </c:pt>
                <c:pt idx="11">
                  <c:v>-0.33333333333333331</c:v>
                </c:pt>
                <c:pt idx="12">
                  <c:v>-0.16666666666666666</c:v>
                </c:pt>
                <c:pt idx="13">
                  <c:v>-0.33333333333333331</c:v>
                </c:pt>
                <c:pt idx="14">
                  <c:v>0</c:v>
                </c:pt>
                <c:pt idx="15">
                  <c:v>0.33333333333333331</c:v>
                </c:pt>
                <c:pt idx="16">
                  <c:v>0</c:v>
                </c:pt>
                <c:pt idx="17">
                  <c:v>0.16666666666666666</c:v>
                </c:pt>
                <c:pt idx="18">
                  <c:v>0.16666666666666666</c:v>
                </c:pt>
                <c:pt idx="19">
                  <c:v>0.66666666666666663</c:v>
                </c:pt>
                <c:pt idx="20">
                  <c:v>0.33333333333333331</c:v>
                </c:pt>
                <c:pt idx="21">
                  <c:v>0.33333333333333331</c:v>
                </c:pt>
                <c:pt idx="22">
                  <c:v>0.16666666666666666</c:v>
                </c:pt>
                <c:pt idx="23">
                  <c:v>0.16666666666666666</c:v>
                </c:pt>
                <c:pt idx="24">
                  <c:v>-0.16666666666666666</c:v>
                </c:pt>
                <c:pt idx="25">
                  <c:v>-0.16666666666666666</c:v>
                </c:pt>
                <c:pt idx="26">
                  <c:v>-0.16666666666666666</c:v>
                </c:pt>
                <c:pt idx="27">
                  <c:v>0</c:v>
                </c:pt>
                <c:pt idx="28">
                  <c:v>0.33333333333333331</c:v>
                </c:pt>
                <c:pt idx="29">
                  <c:v>0.5</c:v>
                </c:pt>
                <c:pt idx="30">
                  <c:v>0.33333333333333331</c:v>
                </c:pt>
                <c:pt idx="31">
                  <c:v>0.33333333333333331</c:v>
                </c:pt>
                <c:pt idx="32">
                  <c:v>0.66666666666666663</c:v>
                </c:pt>
                <c:pt idx="33">
                  <c:v>0.66666666666666663</c:v>
                </c:pt>
                <c:pt idx="34">
                  <c:v>0.66666666666666663</c:v>
                </c:pt>
                <c:pt idx="35">
                  <c:v>0.16666666666666666</c:v>
                </c:pt>
                <c:pt idx="36">
                  <c:v>0.33333333333333331</c:v>
                </c:pt>
                <c:pt idx="37">
                  <c:v>0.16666666666666666</c:v>
                </c:pt>
                <c:pt idx="38">
                  <c:v>0.16666666666666666</c:v>
                </c:pt>
                <c:pt idx="39">
                  <c:v>-0.33333333333333331</c:v>
                </c:pt>
                <c:pt idx="40">
                  <c:v>-0.33333333333333331</c:v>
                </c:pt>
                <c:pt idx="41">
                  <c:v>0</c:v>
                </c:pt>
                <c:pt idx="42">
                  <c:v>0.33333333333333331</c:v>
                </c:pt>
                <c:pt idx="43">
                  <c:v>0.33333333333333331</c:v>
                </c:pt>
                <c:pt idx="44">
                  <c:v>0.5</c:v>
                </c:pt>
                <c:pt idx="45">
                  <c:v>0.33333333333333331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0.83333333333333337</c:v>
                </c:pt>
                <c:pt idx="49">
                  <c:v>1</c:v>
                </c:pt>
                <c:pt idx="50">
                  <c:v>0.66666666666666663</c:v>
                </c:pt>
                <c:pt idx="51">
                  <c:v>0.66666666666666663</c:v>
                </c:pt>
                <c:pt idx="52">
                  <c:v>0.33333333333333331</c:v>
                </c:pt>
                <c:pt idx="53">
                  <c:v>0.66666666666666663</c:v>
                </c:pt>
                <c:pt idx="54">
                  <c:v>0.5</c:v>
                </c:pt>
                <c:pt idx="55">
                  <c:v>1</c:v>
                </c:pt>
                <c:pt idx="56">
                  <c:v>0.5</c:v>
                </c:pt>
                <c:pt idx="57">
                  <c:v>0.33333333333333331</c:v>
                </c:pt>
                <c:pt idx="58">
                  <c:v>0</c:v>
                </c:pt>
                <c:pt idx="59">
                  <c:v>0.16666666666666666</c:v>
                </c:pt>
                <c:pt idx="60">
                  <c:v>0.5</c:v>
                </c:pt>
                <c:pt idx="61">
                  <c:v>0.83333333333333337</c:v>
                </c:pt>
                <c:pt idx="62">
                  <c:v>0.66666666666666663</c:v>
                </c:pt>
                <c:pt idx="63">
                  <c:v>0.33333333333333331</c:v>
                </c:pt>
                <c:pt idx="64">
                  <c:v>0</c:v>
                </c:pt>
                <c:pt idx="65">
                  <c:v>0.16666666666666666</c:v>
                </c:pt>
                <c:pt idx="66">
                  <c:v>0.5</c:v>
                </c:pt>
                <c:pt idx="67">
                  <c:v>0.66666666666666663</c:v>
                </c:pt>
                <c:pt idx="68">
                  <c:v>0.5</c:v>
                </c:pt>
                <c:pt idx="69">
                  <c:v>0.33333333333333331</c:v>
                </c:pt>
                <c:pt idx="70">
                  <c:v>0.16666666666666666</c:v>
                </c:pt>
                <c:pt idx="71">
                  <c:v>0.33333333333333331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0.16666666666666666</c:v>
                </c:pt>
                <c:pt idx="76">
                  <c:v>0.33333333333333331</c:v>
                </c:pt>
                <c:pt idx="77">
                  <c:v>0.16666666666666666</c:v>
                </c:pt>
                <c:pt idx="78">
                  <c:v>0.33333333333333331</c:v>
                </c:pt>
                <c:pt idx="79">
                  <c:v>0.5</c:v>
                </c:pt>
                <c:pt idx="80">
                  <c:v>0.66666666666666663</c:v>
                </c:pt>
                <c:pt idx="81">
                  <c:v>0.5</c:v>
                </c:pt>
                <c:pt idx="82">
                  <c:v>0</c:v>
                </c:pt>
                <c:pt idx="83">
                  <c:v>-0.5</c:v>
                </c:pt>
                <c:pt idx="84">
                  <c:v>-0.5</c:v>
                </c:pt>
                <c:pt idx="85">
                  <c:v>0</c:v>
                </c:pt>
                <c:pt idx="86">
                  <c:v>0.33333333333333331</c:v>
                </c:pt>
                <c:pt idx="87">
                  <c:v>0.66666666666666663</c:v>
                </c:pt>
                <c:pt idx="88">
                  <c:v>0</c:v>
                </c:pt>
                <c:pt idx="89">
                  <c:v>0</c:v>
                </c:pt>
                <c:pt idx="90">
                  <c:v>-0.16666666666666666</c:v>
                </c:pt>
                <c:pt idx="91">
                  <c:v>0.33333333333333331</c:v>
                </c:pt>
                <c:pt idx="92">
                  <c:v>0.33333333333333331</c:v>
                </c:pt>
                <c:pt idx="93">
                  <c:v>0.33333333333333331</c:v>
                </c:pt>
                <c:pt idx="94">
                  <c:v>0</c:v>
                </c:pt>
                <c:pt idx="95">
                  <c:v>0</c:v>
                </c:pt>
                <c:pt idx="96">
                  <c:v>0.16666666666666666</c:v>
                </c:pt>
                <c:pt idx="97">
                  <c:v>0.5</c:v>
                </c:pt>
                <c:pt idx="98">
                  <c:v>1.1666666666666667</c:v>
                </c:pt>
                <c:pt idx="99">
                  <c:v>0.83333333333333337</c:v>
                </c:pt>
                <c:pt idx="100">
                  <c:v>0.83333333333333337</c:v>
                </c:pt>
                <c:pt idx="101">
                  <c:v>0</c:v>
                </c:pt>
                <c:pt idx="102">
                  <c:v>0</c:v>
                </c:pt>
                <c:pt idx="103">
                  <c:v>-0.16666666666666666</c:v>
                </c:pt>
                <c:pt idx="104">
                  <c:v>-0.16666666666666666</c:v>
                </c:pt>
                <c:pt idx="105">
                  <c:v>-0.33333333333333331</c:v>
                </c:pt>
                <c:pt idx="106">
                  <c:v>0</c:v>
                </c:pt>
                <c:pt idx="107">
                  <c:v>0</c:v>
                </c:pt>
                <c:pt idx="108">
                  <c:v>0.16666666666666666</c:v>
                </c:pt>
                <c:pt idx="109">
                  <c:v>-0.16666666666666666</c:v>
                </c:pt>
                <c:pt idx="110">
                  <c:v>0.16666666666666666</c:v>
                </c:pt>
                <c:pt idx="111">
                  <c:v>0</c:v>
                </c:pt>
                <c:pt idx="112">
                  <c:v>0.33333333333333331</c:v>
                </c:pt>
                <c:pt idx="113">
                  <c:v>0.33333333333333331</c:v>
                </c:pt>
                <c:pt idx="114">
                  <c:v>0.5</c:v>
                </c:pt>
                <c:pt idx="115">
                  <c:v>0.5</c:v>
                </c:pt>
                <c:pt idx="116">
                  <c:v>0.33333333333333331</c:v>
                </c:pt>
                <c:pt idx="117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0F-4F71-963C-F7D10C167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1766960"/>
        <c:axId val="1125560016"/>
      </c:scatterChart>
      <c:valAx>
        <c:axId val="95176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560016"/>
        <c:crosses val="autoZero"/>
        <c:crossBetween val="midCat"/>
      </c:valAx>
      <c:valAx>
        <c:axId val="112556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Grid Location (In)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1766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Moving Average 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Moving Average Y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'Simple Moving Average Charts'!$F$5:$F$122</c:f>
              <c:numCache>
                <c:formatCode>General</c:formatCode>
                <c:ptCount val="118"/>
                <c:pt idx="0">
                  <c:v>-0.16666666666666666</c:v>
                </c:pt>
                <c:pt idx="1">
                  <c:v>-5.166666666666667</c:v>
                </c:pt>
                <c:pt idx="2">
                  <c:v>-4.833333333333333</c:v>
                </c:pt>
                <c:pt idx="3">
                  <c:v>-3.6666666666666665</c:v>
                </c:pt>
                <c:pt idx="4">
                  <c:v>0.33333333333333331</c:v>
                </c:pt>
                <c:pt idx="5">
                  <c:v>2.1666666666666665</c:v>
                </c:pt>
                <c:pt idx="6">
                  <c:v>0.16666666666666666</c:v>
                </c:pt>
                <c:pt idx="7">
                  <c:v>-1.6666666666666667</c:v>
                </c:pt>
                <c:pt idx="8">
                  <c:v>-3.8333333333333335</c:v>
                </c:pt>
                <c:pt idx="9">
                  <c:v>-2.3333333333333335</c:v>
                </c:pt>
                <c:pt idx="10">
                  <c:v>-4.166666666666667</c:v>
                </c:pt>
                <c:pt idx="11">
                  <c:v>-3.8333333333333335</c:v>
                </c:pt>
                <c:pt idx="12">
                  <c:v>-4.833333333333333</c:v>
                </c:pt>
                <c:pt idx="13">
                  <c:v>-5.166666666666667</c:v>
                </c:pt>
                <c:pt idx="14">
                  <c:v>-5.166666666666667</c:v>
                </c:pt>
                <c:pt idx="15">
                  <c:v>-5.333333333333333</c:v>
                </c:pt>
                <c:pt idx="16">
                  <c:v>-2.6666666666666665</c:v>
                </c:pt>
                <c:pt idx="17">
                  <c:v>-0.5</c:v>
                </c:pt>
                <c:pt idx="18">
                  <c:v>0.16666666666666666</c:v>
                </c:pt>
                <c:pt idx="19">
                  <c:v>0.16666666666666666</c:v>
                </c:pt>
                <c:pt idx="20">
                  <c:v>-2.6666666666666665</c:v>
                </c:pt>
                <c:pt idx="21">
                  <c:v>-3</c:v>
                </c:pt>
                <c:pt idx="22">
                  <c:v>-3.3333333333333335</c:v>
                </c:pt>
                <c:pt idx="23">
                  <c:v>-2.8333333333333335</c:v>
                </c:pt>
                <c:pt idx="24">
                  <c:v>-2.1666666666666665</c:v>
                </c:pt>
                <c:pt idx="25">
                  <c:v>-1.1666666666666667</c:v>
                </c:pt>
                <c:pt idx="26">
                  <c:v>-0.66666666666666663</c:v>
                </c:pt>
                <c:pt idx="27">
                  <c:v>-1</c:v>
                </c:pt>
                <c:pt idx="28">
                  <c:v>-1.8333333333333333</c:v>
                </c:pt>
                <c:pt idx="29">
                  <c:v>-3.5</c:v>
                </c:pt>
                <c:pt idx="30">
                  <c:v>-4.666666666666667</c:v>
                </c:pt>
                <c:pt idx="31">
                  <c:v>-6</c:v>
                </c:pt>
                <c:pt idx="32">
                  <c:v>-4.666666666666667</c:v>
                </c:pt>
                <c:pt idx="33">
                  <c:v>-3.8333333333333335</c:v>
                </c:pt>
                <c:pt idx="34">
                  <c:v>-3.5</c:v>
                </c:pt>
                <c:pt idx="35">
                  <c:v>-3.6666666666666665</c:v>
                </c:pt>
                <c:pt idx="36">
                  <c:v>-4.166666666666667</c:v>
                </c:pt>
                <c:pt idx="37">
                  <c:v>-4.333333333333333</c:v>
                </c:pt>
                <c:pt idx="38">
                  <c:v>-0.5</c:v>
                </c:pt>
                <c:pt idx="39">
                  <c:v>3.3333333333333335</c:v>
                </c:pt>
                <c:pt idx="40">
                  <c:v>4.333333333333333</c:v>
                </c:pt>
                <c:pt idx="41">
                  <c:v>-0.5</c:v>
                </c:pt>
                <c:pt idx="42">
                  <c:v>-0.33333333333333331</c:v>
                </c:pt>
                <c:pt idx="43">
                  <c:v>0.5</c:v>
                </c:pt>
                <c:pt idx="44">
                  <c:v>4.666666666666667</c:v>
                </c:pt>
                <c:pt idx="45">
                  <c:v>5.166666666666667</c:v>
                </c:pt>
                <c:pt idx="46">
                  <c:v>5.666666666666667</c:v>
                </c:pt>
                <c:pt idx="47">
                  <c:v>3.3333333333333335</c:v>
                </c:pt>
                <c:pt idx="48">
                  <c:v>2.6666666666666665</c:v>
                </c:pt>
                <c:pt idx="49">
                  <c:v>2.8333333333333335</c:v>
                </c:pt>
                <c:pt idx="50">
                  <c:v>5.666666666666667</c:v>
                </c:pt>
                <c:pt idx="51">
                  <c:v>5.666666666666667</c:v>
                </c:pt>
                <c:pt idx="52">
                  <c:v>3.8333333333333335</c:v>
                </c:pt>
                <c:pt idx="53">
                  <c:v>0.5</c:v>
                </c:pt>
                <c:pt idx="54">
                  <c:v>1.1666666666666667</c:v>
                </c:pt>
                <c:pt idx="55">
                  <c:v>2.5</c:v>
                </c:pt>
                <c:pt idx="56">
                  <c:v>1.5</c:v>
                </c:pt>
                <c:pt idx="57">
                  <c:v>-0.83333333333333337</c:v>
                </c:pt>
                <c:pt idx="58">
                  <c:v>-0.5</c:v>
                </c:pt>
                <c:pt idx="59">
                  <c:v>0.16666666666666666</c:v>
                </c:pt>
                <c:pt idx="60">
                  <c:v>-0.83333333333333337</c:v>
                </c:pt>
                <c:pt idx="61">
                  <c:v>-1.5</c:v>
                </c:pt>
                <c:pt idx="62">
                  <c:v>-1.5</c:v>
                </c:pt>
                <c:pt idx="63">
                  <c:v>-1.6666666666666667</c:v>
                </c:pt>
                <c:pt idx="64">
                  <c:v>-1.3333333333333333</c:v>
                </c:pt>
                <c:pt idx="65">
                  <c:v>-1.5</c:v>
                </c:pt>
                <c:pt idx="66">
                  <c:v>-0.66666666666666663</c:v>
                </c:pt>
                <c:pt idx="67">
                  <c:v>-2.5</c:v>
                </c:pt>
                <c:pt idx="68">
                  <c:v>-2.1666666666666665</c:v>
                </c:pt>
                <c:pt idx="69">
                  <c:v>-3.6666666666666665</c:v>
                </c:pt>
                <c:pt idx="70">
                  <c:v>-4</c:v>
                </c:pt>
                <c:pt idx="71">
                  <c:v>-3</c:v>
                </c:pt>
                <c:pt idx="72">
                  <c:v>-1.8333333333333333</c:v>
                </c:pt>
                <c:pt idx="73">
                  <c:v>-1.5</c:v>
                </c:pt>
                <c:pt idx="74">
                  <c:v>-1.5</c:v>
                </c:pt>
                <c:pt idx="75">
                  <c:v>-2.1666666666666665</c:v>
                </c:pt>
                <c:pt idx="76">
                  <c:v>-1</c:v>
                </c:pt>
                <c:pt idx="77">
                  <c:v>-2</c:v>
                </c:pt>
                <c:pt idx="78">
                  <c:v>1.3333333333333333</c:v>
                </c:pt>
                <c:pt idx="79">
                  <c:v>2.5</c:v>
                </c:pt>
                <c:pt idx="80">
                  <c:v>3</c:v>
                </c:pt>
                <c:pt idx="81">
                  <c:v>-0.33333333333333331</c:v>
                </c:pt>
                <c:pt idx="82">
                  <c:v>-2.5</c:v>
                </c:pt>
                <c:pt idx="83">
                  <c:v>-4.333333333333333</c:v>
                </c:pt>
                <c:pt idx="84">
                  <c:v>-3.8333333333333335</c:v>
                </c:pt>
                <c:pt idx="85">
                  <c:v>-3</c:v>
                </c:pt>
                <c:pt idx="86">
                  <c:v>0.5</c:v>
                </c:pt>
                <c:pt idx="87">
                  <c:v>0</c:v>
                </c:pt>
                <c:pt idx="88">
                  <c:v>-1.1666666666666667</c:v>
                </c:pt>
                <c:pt idx="89">
                  <c:v>-2.6666666666666665</c:v>
                </c:pt>
                <c:pt idx="90">
                  <c:v>-1.8333333333333333</c:v>
                </c:pt>
                <c:pt idx="91">
                  <c:v>-0.83333333333333337</c:v>
                </c:pt>
                <c:pt idx="92">
                  <c:v>-1.6666666666666667</c:v>
                </c:pt>
                <c:pt idx="93">
                  <c:v>-3</c:v>
                </c:pt>
                <c:pt idx="94">
                  <c:v>-4.5</c:v>
                </c:pt>
                <c:pt idx="95">
                  <c:v>-4.5</c:v>
                </c:pt>
                <c:pt idx="96">
                  <c:v>-3</c:v>
                </c:pt>
                <c:pt idx="97">
                  <c:v>-1.6666666666666667</c:v>
                </c:pt>
                <c:pt idx="98">
                  <c:v>-0.5</c:v>
                </c:pt>
                <c:pt idx="99">
                  <c:v>-1</c:v>
                </c:pt>
                <c:pt idx="100">
                  <c:v>1.3333333333333333</c:v>
                </c:pt>
                <c:pt idx="101">
                  <c:v>2.5</c:v>
                </c:pt>
                <c:pt idx="102">
                  <c:v>3.8333333333333335</c:v>
                </c:pt>
                <c:pt idx="103">
                  <c:v>2.5</c:v>
                </c:pt>
                <c:pt idx="104">
                  <c:v>1.5</c:v>
                </c:pt>
                <c:pt idx="105">
                  <c:v>0.16666666666666666</c:v>
                </c:pt>
                <c:pt idx="106">
                  <c:v>1</c:v>
                </c:pt>
                <c:pt idx="107">
                  <c:v>0.83333333333333337</c:v>
                </c:pt>
                <c:pt idx="108">
                  <c:v>2.1666666666666665</c:v>
                </c:pt>
                <c:pt idx="109">
                  <c:v>1</c:v>
                </c:pt>
                <c:pt idx="110">
                  <c:v>1.1666666666666667</c:v>
                </c:pt>
                <c:pt idx="111">
                  <c:v>-0.5</c:v>
                </c:pt>
                <c:pt idx="112">
                  <c:v>0.5</c:v>
                </c:pt>
                <c:pt idx="113">
                  <c:v>1</c:v>
                </c:pt>
                <c:pt idx="114">
                  <c:v>1.8333333333333333</c:v>
                </c:pt>
                <c:pt idx="115">
                  <c:v>1</c:v>
                </c:pt>
                <c:pt idx="116">
                  <c:v>1.8333333333333333</c:v>
                </c:pt>
                <c:pt idx="117">
                  <c:v>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F9-49BD-97C5-7596B416C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1766960"/>
        <c:axId val="1125560016"/>
      </c:scatterChart>
      <c:valAx>
        <c:axId val="95176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560016"/>
        <c:crosses val="autoZero"/>
        <c:crossBetween val="midCat"/>
      </c:valAx>
      <c:valAx>
        <c:axId val="112556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Grid Location (In)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1766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'Individual stats'!$A$2</c:f>
              <c:strCache>
                <c:ptCount val="1"/>
                <c:pt idx="0">
                  <c:v>Std 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'Individual stats'!$B$1:$L$1</c:f>
              <c:strCache>
                <c:ptCount val="11"/>
                <c:pt idx="0">
                  <c:v>Emily</c:v>
                </c:pt>
                <c:pt idx="2">
                  <c:v>Hunter</c:v>
                </c:pt>
                <c:pt idx="4">
                  <c:v>Todd</c:v>
                </c:pt>
                <c:pt idx="6">
                  <c:v>Anthony</c:v>
                </c:pt>
                <c:pt idx="8">
                  <c:v>Mary</c:v>
                </c:pt>
                <c:pt idx="10">
                  <c:v>Brett</c:v>
                </c:pt>
              </c:strCache>
            </c:strRef>
          </c:cat>
          <c:val>
            <c:numRef>
              <c:f>'Individual stats'!$B$2:$L$2</c:f>
              <c:numCache>
                <c:formatCode>General</c:formatCode>
                <c:ptCount val="11"/>
                <c:pt idx="0">
                  <c:v>0.76777189594991446</c:v>
                </c:pt>
                <c:pt idx="1">
                  <c:v>0</c:v>
                </c:pt>
                <c:pt idx="2">
                  <c:v>0.7181848464596079</c:v>
                </c:pt>
                <c:pt idx="3">
                  <c:v>0</c:v>
                </c:pt>
                <c:pt idx="4">
                  <c:v>0.4993416718672275</c:v>
                </c:pt>
                <c:pt idx="5">
                  <c:v>0</c:v>
                </c:pt>
                <c:pt idx="6">
                  <c:v>0.39319875782852459</c:v>
                </c:pt>
                <c:pt idx="7">
                  <c:v>0</c:v>
                </c:pt>
                <c:pt idx="8">
                  <c:v>0.39319875782852459</c:v>
                </c:pt>
                <c:pt idx="9">
                  <c:v>0</c:v>
                </c:pt>
                <c:pt idx="10">
                  <c:v>0.65844713651055342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7A-4AF6-A47F-094C79672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0668832"/>
        <c:axId val="793768800"/>
      </c:barChart>
      <c:catAx>
        <c:axId val="830668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User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3768800"/>
        <c:crosses val="autoZero"/>
        <c:auto val="1"/>
        <c:lblAlgn val="ctr"/>
        <c:lblOffset val="100"/>
        <c:noMultiLvlLbl val="0"/>
      </c:catAx>
      <c:valAx>
        <c:axId val="79376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Std X (in)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668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'Individual stats'!$A$3</c:f>
              <c:strCache>
                <c:ptCount val="1"/>
                <c:pt idx="0">
                  <c:v>Std 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'Individual stats'!$B$1:$L$1</c:f>
              <c:strCache>
                <c:ptCount val="11"/>
                <c:pt idx="0">
                  <c:v>Emily</c:v>
                </c:pt>
                <c:pt idx="2">
                  <c:v>Hunter</c:v>
                </c:pt>
                <c:pt idx="4">
                  <c:v>Todd</c:v>
                </c:pt>
                <c:pt idx="6">
                  <c:v>Anthony</c:v>
                </c:pt>
                <c:pt idx="8">
                  <c:v>Mary</c:v>
                </c:pt>
                <c:pt idx="10">
                  <c:v>Brett</c:v>
                </c:pt>
              </c:strCache>
            </c:strRef>
          </c:cat>
          <c:val>
            <c:numRef>
              <c:f>'Individual stats'!$B$3:$L$3</c:f>
              <c:numCache>
                <c:formatCode>General</c:formatCode>
                <c:ptCount val="11"/>
                <c:pt idx="0">
                  <c:v>4.1183159562847376</c:v>
                </c:pt>
                <c:pt idx="1">
                  <c:v>0</c:v>
                </c:pt>
                <c:pt idx="2">
                  <c:v>4.5811398259890694</c:v>
                </c:pt>
                <c:pt idx="3">
                  <c:v>0</c:v>
                </c:pt>
                <c:pt idx="4">
                  <c:v>2.0222447142248945</c:v>
                </c:pt>
                <c:pt idx="5">
                  <c:v>0</c:v>
                </c:pt>
                <c:pt idx="6">
                  <c:v>2.1366168535671921</c:v>
                </c:pt>
                <c:pt idx="7">
                  <c:v>0</c:v>
                </c:pt>
                <c:pt idx="8">
                  <c:v>3.2763105051743477</c:v>
                </c:pt>
                <c:pt idx="9">
                  <c:v>0</c:v>
                </c:pt>
                <c:pt idx="10">
                  <c:v>2.2278146006202673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8E-47F8-AEAA-EDD445DED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64032304"/>
        <c:axId val="1022453712"/>
      </c:barChart>
      <c:catAx>
        <c:axId val="764032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User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2453712"/>
        <c:crosses val="autoZero"/>
        <c:auto val="1"/>
        <c:lblAlgn val="ctr"/>
        <c:lblOffset val="100"/>
        <c:noMultiLvlLbl val="0"/>
      </c:catAx>
      <c:valAx>
        <c:axId val="102245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Std Y (in)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403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'Individual stats'!$A$4</c:f>
              <c:strCache>
                <c:ptCount val="1"/>
                <c:pt idx="0">
                  <c:v>Mean 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'Individual stats'!$B$1:$L$1</c:f>
              <c:strCache>
                <c:ptCount val="11"/>
                <c:pt idx="0">
                  <c:v>Emily</c:v>
                </c:pt>
                <c:pt idx="2">
                  <c:v>Hunter</c:v>
                </c:pt>
                <c:pt idx="4">
                  <c:v>Todd</c:v>
                </c:pt>
                <c:pt idx="6">
                  <c:v>Anthony</c:v>
                </c:pt>
                <c:pt idx="8">
                  <c:v>Mary</c:v>
                </c:pt>
                <c:pt idx="10">
                  <c:v>Brett</c:v>
                </c:pt>
              </c:strCache>
            </c:strRef>
          </c:cat>
          <c:val>
            <c:numRef>
              <c:f>'Individual stats'!$B$4:$L$4</c:f>
              <c:numCache>
                <c:formatCode>General</c:formatCode>
                <c:ptCount val="11"/>
                <c:pt idx="0">
                  <c:v>0.2</c:v>
                </c:pt>
                <c:pt idx="1">
                  <c:v>0</c:v>
                </c:pt>
                <c:pt idx="2">
                  <c:v>0.4</c:v>
                </c:pt>
                <c:pt idx="3">
                  <c:v>0</c:v>
                </c:pt>
                <c:pt idx="4">
                  <c:v>0.27500000000000002</c:v>
                </c:pt>
                <c:pt idx="5">
                  <c:v>0</c:v>
                </c:pt>
                <c:pt idx="6">
                  <c:v>0.375</c:v>
                </c:pt>
                <c:pt idx="7">
                  <c:v>0</c:v>
                </c:pt>
                <c:pt idx="8">
                  <c:v>0.2</c:v>
                </c:pt>
                <c:pt idx="9">
                  <c:v>0</c:v>
                </c:pt>
                <c:pt idx="10">
                  <c:v>0.22500000000000001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B8-440C-AB67-F900C7093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1038784"/>
        <c:axId val="830079696"/>
      </c:barChart>
      <c:catAx>
        <c:axId val="791038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User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079696"/>
        <c:crosses val="autoZero"/>
        <c:auto val="1"/>
        <c:lblAlgn val="ctr"/>
        <c:lblOffset val="100"/>
        <c:noMultiLvlLbl val="0"/>
      </c:catAx>
      <c:valAx>
        <c:axId val="83007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 X (in)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03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'Individual stats'!$A$5</c:f>
              <c:strCache>
                <c:ptCount val="1"/>
                <c:pt idx="0">
                  <c:v>Mean 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('Individual stats'!$B$1,'Individual stats'!$D$1,'Individual stats'!$F$1,'Individual stats'!$H$1,'Individual stats'!$J$1,'Individual stats'!$L$1)</c:f>
              <c:strCache>
                <c:ptCount val="6"/>
                <c:pt idx="0">
                  <c:v>Emily</c:v>
                </c:pt>
                <c:pt idx="1">
                  <c:v>Hunter</c:v>
                </c:pt>
                <c:pt idx="2">
                  <c:v>Todd</c:v>
                </c:pt>
                <c:pt idx="3">
                  <c:v>Anthony</c:v>
                </c:pt>
                <c:pt idx="4">
                  <c:v>Mary</c:v>
                </c:pt>
                <c:pt idx="5">
                  <c:v>Brett</c:v>
                </c:pt>
              </c:strCache>
            </c:strRef>
          </c:cat>
          <c:val>
            <c:numRef>
              <c:f>('Individual stats'!$B$5,'Individual stats'!$D$5,'Individual stats'!$F$5,'Individual stats'!$H$5,'Individual stats'!$J$5,'Individual stats'!$L$5)</c:f>
              <c:numCache>
                <c:formatCode>General</c:formatCode>
                <c:ptCount val="6"/>
                <c:pt idx="0">
                  <c:v>-2.25</c:v>
                </c:pt>
                <c:pt idx="1">
                  <c:v>2.75</c:v>
                </c:pt>
                <c:pt idx="2">
                  <c:v>-3.2</c:v>
                </c:pt>
                <c:pt idx="3">
                  <c:v>-1.7749999999999999</c:v>
                </c:pt>
                <c:pt idx="4">
                  <c:v>-1.55</c:v>
                </c:pt>
                <c:pt idx="5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5D-4405-A4D6-3164B0978B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39232592"/>
        <c:axId val="835540272"/>
      </c:barChart>
      <c:catAx>
        <c:axId val="83923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5540272"/>
        <c:crosses val="autoZero"/>
        <c:auto val="0"/>
        <c:lblAlgn val="ctr"/>
        <c:lblOffset val="100"/>
        <c:noMultiLvlLbl val="0"/>
      </c:catAx>
      <c:valAx>
        <c:axId val="83554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9232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/>
  <sheetViews>
    <sheetView zoomScale="90" workbookViewId="0"/>
  </sheetViews>
  <pageMargins left="0.75" right="0.75" top="1" bottom="1" header="0.5" footer="0.5"/>
  <pageSetup orientation="landscape" r:id="rId1"/>
  <headerFooter alignWithMargins="0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590550</xdr:colOff>
          <xdr:row>10</xdr:row>
          <xdr:rowOff>28575</xdr:rowOff>
        </xdr:from>
        <xdr:to>
          <xdr:col>14</xdr:col>
          <xdr:colOff>457200</xdr:colOff>
          <xdr:row>21</xdr:row>
          <xdr:rowOff>19050</xdr:rowOff>
        </xdr:to>
        <xdr:sp macro="" textlink="">
          <xdr:nvSpPr>
            <xdr:cNvPr id="3074" name="PRESS ME TO UPDA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PRESS ME TO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161925</xdr:colOff>
      <xdr:row>2</xdr:row>
      <xdr:rowOff>47625</xdr:rowOff>
    </xdr:from>
    <xdr:to>
      <xdr:col>45</xdr:col>
      <xdr:colOff>457200</xdr:colOff>
      <xdr:row>73</xdr:row>
      <xdr:rowOff>85725</xdr:rowOff>
    </xdr:to>
    <xdr:sp macro="" textlink="">
      <xdr:nvSpPr>
        <xdr:cNvPr id="1114" name="AutoShape 5">
          <a:extLst>
            <a:ext uri="{FF2B5EF4-FFF2-40B4-BE49-F238E27FC236}">
              <a16:creationId xmlns:a16="http://schemas.microsoft.com/office/drawing/2014/main" id="{00000000-0008-0000-0100-00005A040000}"/>
            </a:ext>
          </a:extLst>
        </xdr:cNvPr>
        <xdr:cNvSpPr>
          <a:spLocks noChangeArrowheads="1"/>
        </xdr:cNvSpPr>
      </xdr:nvSpPr>
      <xdr:spPr bwMode="auto">
        <a:xfrm rot="9600000">
          <a:off x="16049625" y="552450"/>
          <a:ext cx="904875" cy="7486650"/>
        </a:xfrm>
        <a:prstGeom prst="curvedRightArrow">
          <a:avLst>
            <a:gd name="adj1" fmla="val 131575"/>
            <a:gd name="adj2" fmla="val 319648"/>
            <a:gd name="adj3" fmla="val 33870"/>
          </a:avLst>
        </a:prstGeom>
        <a:solidFill>
          <a:srgbClr val="00808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250825</xdr:colOff>
      <xdr:row>59</xdr:row>
      <xdr:rowOff>136525</xdr:rowOff>
    </xdr:from>
    <xdr:to>
      <xdr:col>44</xdr:col>
      <xdr:colOff>168275</xdr:colOff>
      <xdr:row>82</xdr:row>
      <xdr:rowOff>95263</xdr:rowOff>
    </xdr:to>
    <xdr:sp macro="" textlink="">
      <xdr:nvSpPr>
        <xdr:cNvPr id="1028" name="Rectangle 4">
          <a:extLst>
            <a:ext uri="{FF2B5EF4-FFF2-40B4-BE49-F238E27FC236}">
              <a16:creationId xmlns:a16="http://schemas.microsoft.com/office/drawing/2014/main" id="{00000000-0008-0000-0100-000004040000}"/>
            </a:ext>
          </a:extLst>
        </xdr:cNvPr>
        <xdr:cNvSpPr>
          <a:spLocks noChangeArrowheads="1"/>
        </xdr:cNvSpPr>
      </xdr:nvSpPr>
      <xdr:spPr bwMode="auto">
        <a:xfrm>
          <a:off x="2057400" y="2933700"/>
          <a:ext cx="3352800" cy="1581150"/>
        </a:xfrm>
        <a:prstGeom prst="rect">
          <a:avLst/>
        </a:prstGeom>
        <a:solidFill>
          <a:srgbClr val="003366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/>
          </a:outerShdw>
        </a:effec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endParaRPr lang="en-US" sz="1000" b="0" i="0" strike="noStrike">
            <a:solidFill>
              <a:srgbClr val="FFFFFF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000" b="0" i="0" strike="noStrike">
            <a:solidFill>
              <a:srgbClr val="FFFFFF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1" i="0" strike="noStrike">
              <a:solidFill>
                <a:srgbClr val="FFFFFF"/>
              </a:solidFill>
              <a:latin typeface="Arial"/>
              <a:cs typeface="Arial"/>
            </a:rPr>
            <a:t>Enter the total number of landings in the appropriate cell. Both sigma's and the 3D histogram (on the next sheet) will calculate automaticly.</a:t>
          </a:r>
          <a:endParaRPr lang="en-US" sz="1000" b="0" i="0" strike="noStrike">
            <a:solidFill>
              <a:srgbClr val="FFFFFF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000" b="0" i="0" strike="noStrike">
            <a:solidFill>
              <a:srgbClr val="FFFFFF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strike="noStrike">
              <a:solidFill>
                <a:srgbClr val="FFFFFF"/>
              </a:solidFill>
              <a:latin typeface="Arial"/>
              <a:cs typeface="Arial"/>
            </a:rPr>
            <a:t>See Notes for calculations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572500" cy="582083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390524</xdr:colOff>
      <xdr:row>3</xdr:row>
      <xdr:rowOff>33336</xdr:rowOff>
    </xdr:from>
    <xdr:to>
      <xdr:col>26</xdr:col>
      <xdr:colOff>76199</xdr:colOff>
      <xdr:row>29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4B1E90E-5EA9-4E1D-A44E-9A3B280353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342900</xdr:colOff>
      <xdr:row>34</xdr:row>
      <xdr:rowOff>114300</xdr:rowOff>
    </xdr:from>
    <xdr:to>
      <xdr:col>26</xdr:col>
      <xdr:colOff>28575</xdr:colOff>
      <xdr:row>69</xdr:row>
      <xdr:rowOff>52388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34C2CE8-67F8-422D-A146-ED01950576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419100</xdr:colOff>
      <xdr:row>28</xdr:row>
      <xdr:rowOff>28575</xdr:rowOff>
    </xdr:from>
    <xdr:to>
      <xdr:col>12</xdr:col>
      <xdr:colOff>590550</xdr:colOff>
      <xdr:row>30</xdr:row>
      <xdr:rowOff>76200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919C55AC-DB0C-4AE6-B9D9-616921935820}"/>
            </a:ext>
          </a:extLst>
        </xdr:cNvPr>
        <xdr:cNvSpPr txBox="1"/>
      </xdr:nvSpPr>
      <xdr:spPr>
        <a:xfrm>
          <a:off x="7124700" y="5857875"/>
          <a:ext cx="781050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Emily</a:t>
          </a:r>
        </a:p>
      </xdr:txBody>
    </xdr:sp>
    <xdr:clientData/>
  </xdr:twoCellAnchor>
  <xdr:twoCellAnchor>
    <xdr:from>
      <xdr:col>15</xdr:col>
      <xdr:colOff>47624</xdr:colOff>
      <xdr:row>28</xdr:row>
      <xdr:rowOff>66676</xdr:rowOff>
    </xdr:from>
    <xdr:to>
      <xdr:col>16</xdr:col>
      <xdr:colOff>285749</xdr:colOff>
      <xdr:row>31</xdr:row>
      <xdr:rowOff>9526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6FF055D7-1490-40B6-865E-23E4EE10CBF1}"/>
            </a:ext>
          </a:extLst>
        </xdr:cNvPr>
        <xdr:cNvSpPr txBox="1"/>
      </xdr:nvSpPr>
      <xdr:spPr>
        <a:xfrm>
          <a:off x="9191624" y="5895976"/>
          <a:ext cx="847725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Hunter</a:t>
          </a:r>
        </a:p>
      </xdr:txBody>
    </xdr:sp>
    <xdr:clientData/>
  </xdr:twoCellAnchor>
  <xdr:twoCellAnchor>
    <xdr:from>
      <xdr:col>13</xdr:col>
      <xdr:colOff>257176</xdr:colOff>
      <xdr:row>28</xdr:row>
      <xdr:rowOff>57152</xdr:rowOff>
    </xdr:from>
    <xdr:to>
      <xdr:col>14</xdr:col>
      <xdr:colOff>409576</xdr:colOff>
      <xdr:row>30</xdr:row>
      <xdr:rowOff>95252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12D2B37B-5A8A-4BCC-A5B7-5F38E6E3248D}"/>
            </a:ext>
          </a:extLst>
        </xdr:cNvPr>
        <xdr:cNvSpPr txBox="1"/>
      </xdr:nvSpPr>
      <xdr:spPr>
        <a:xfrm>
          <a:off x="8181976" y="5886452"/>
          <a:ext cx="762000" cy="361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Todd</a:t>
          </a:r>
        </a:p>
      </xdr:txBody>
    </xdr:sp>
    <xdr:clientData/>
  </xdr:twoCellAnchor>
  <xdr:twoCellAnchor>
    <xdr:from>
      <xdr:col>16</xdr:col>
      <xdr:colOff>381000</xdr:colOff>
      <xdr:row>29</xdr:row>
      <xdr:rowOff>47627</xdr:rowOff>
    </xdr:from>
    <xdr:to>
      <xdr:col>18</xdr:col>
      <xdr:colOff>219075</xdr:colOff>
      <xdr:row>31</xdr:row>
      <xdr:rowOff>28576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2942D472-165E-46FB-9AC8-B5B772C2A661}"/>
            </a:ext>
          </a:extLst>
        </xdr:cNvPr>
        <xdr:cNvSpPr txBox="1"/>
      </xdr:nvSpPr>
      <xdr:spPr>
        <a:xfrm>
          <a:off x="10134600" y="6038852"/>
          <a:ext cx="1057275" cy="3047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Anthony</a:t>
          </a:r>
        </a:p>
      </xdr:txBody>
    </xdr:sp>
    <xdr:clientData/>
  </xdr:twoCellAnchor>
  <xdr:twoCellAnchor>
    <xdr:from>
      <xdr:col>18</xdr:col>
      <xdr:colOff>381000</xdr:colOff>
      <xdr:row>28</xdr:row>
      <xdr:rowOff>152402</xdr:rowOff>
    </xdr:from>
    <xdr:to>
      <xdr:col>19</xdr:col>
      <xdr:colOff>447675</xdr:colOff>
      <xdr:row>31</xdr:row>
      <xdr:rowOff>38101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CF8833A3-01EA-4075-AE2F-83FC8CCFB416}"/>
            </a:ext>
          </a:extLst>
        </xdr:cNvPr>
        <xdr:cNvSpPr txBox="1"/>
      </xdr:nvSpPr>
      <xdr:spPr>
        <a:xfrm>
          <a:off x="11353800" y="5981702"/>
          <a:ext cx="676275" cy="3714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Mary</a:t>
          </a:r>
        </a:p>
      </xdr:txBody>
    </xdr:sp>
    <xdr:clientData/>
  </xdr:twoCellAnchor>
  <xdr:twoCellAnchor>
    <xdr:from>
      <xdr:col>20</xdr:col>
      <xdr:colOff>238124</xdr:colOff>
      <xdr:row>28</xdr:row>
      <xdr:rowOff>142876</xdr:rowOff>
    </xdr:from>
    <xdr:to>
      <xdr:col>21</xdr:col>
      <xdr:colOff>333375</xdr:colOff>
      <xdr:row>30</xdr:row>
      <xdr:rowOff>152401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61EFB7F4-BFA5-4194-9E55-CD4550083A5A}"/>
            </a:ext>
          </a:extLst>
        </xdr:cNvPr>
        <xdr:cNvSpPr txBox="1"/>
      </xdr:nvSpPr>
      <xdr:spPr>
        <a:xfrm>
          <a:off x="12430124" y="5972176"/>
          <a:ext cx="704851" cy="333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Brett</a:t>
          </a:r>
        </a:p>
      </xdr:txBody>
    </xdr:sp>
    <xdr:clientData/>
  </xdr:twoCellAnchor>
  <xdr:twoCellAnchor>
    <xdr:from>
      <xdr:col>11</xdr:col>
      <xdr:colOff>466725</xdr:colOff>
      <xdr:row>68</xdr:row>
      <xdr:rowOff>57150</xdr:rowOff>
    </xdr:from>
    <xdr:to>
      <xdr:col>13</xdr:col>
      <xdr:colOff>28575</xdr:colOff>
      <xdr:row>70</xdr:row>
      <xdr:rowOff>104775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53C4F712-E2D5-45DC-A0A0-547137670491}"/>
            </a:ext>
          </a:extLst>
        </xdr:cNvPr>
        <xdr:cNvSpPr txBox="1"/>
      </xdr:nvSpPr>
      <xdr:spPr>
        <a:xfrm>
          <a:off x="7172325" y="12363450"/>
          <a:ext cx="781050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Emily</a:t>
          </a:r>
        </a:p>
      </xdr:txBody>
    </xdr:sp>
    <xdr:clientData/>
  </xdr:twoCellAnchor>
  <xdr:twoCellAnchor>
    <xdr:from>
      <xdr:col>15</xdr:col>
      <xdr:colOff>66674</xdr:colOff>
      <xdr:row>68</xdr:row>
      <xdr:rowOff>104776</xdr:rowOff>
    </xdr:from>
    <xdr:to>
      <xdr:col>16</xdr:col>
      <xdr:colOff>304799</xdr:colOff>
      <xdr:row>71</xdr:row>
      <xdr:rowOff>47626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8CF8BA5E-D183-4AD6-92CF-75A374B279BE}"/>
            </a:ext>
          </a:extLst>
        </xdr:cNvPr>
        <xdr:cNvSpPr txBox="1"/>
      </xdr:nvSpPr>
      <xdr:spPr>
        <a:xfrm>
          <a:off x="9210674" y="12411076"/>
          <a:ext cx="847725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Hunter</a:t>
          </a:r>
        </a:p>
      </xdr:txBody>
    </xdr:sp>
    <xdr:clientData/>
  </xdr:twoCellAnchor>
  <xdr:twoCellAnchor>
    <xdr:from>
      <xdr:col>13</xdr:col>
      <xdr:colOff>285751</xdr:colOff>
      <xdr:row>68</xdr:row>
      <xdr:rowOff>95252</xdr:rowOff>
    </xdr:from>
    <xdr:to>
      <xdr:col>14</xdr:col>
      <xdr:colOff>438151</xdr:colOff>
      <xdr:row>70</xdr:row>
      <xdr:rowOff>133352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DE0A6182-CEF3-4F97-8407-F97C016DDF33}"/>
            </a:ext>
          </a:extLst>
        </xdr:cNvPr>
        <xdr:cNvSpPr txBox="1"/>
      </xdr:nvSpPr>
      <xdr:spPr>
        <a:xfrm>
          <a:off x="8210551" y="12401552"/>
          <a:ext cx="762000" cy="361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Todd</a:t>
          </a:r>
        </a:p>
      </xdr:txBody>
    </xdr:sp>
    <xdr:clientData/>
  </xdr:twoCellAnchor>
  <xdr:twoCellAnchor>
    <xdr:from>
      <xdr:col>16</xdr:col>
      <xdr:colOff>371475</xdr:colOff>
      <xdr:row>68</xdr:row>
      <xdr:rowOff>123827</xdr:rowOff>
    </xdr:from>
    <xdr:to>
      <xdr:col>18</xdr:col>
      <xdr:colOff>209550</xdr:colOff>
      <xdr:row>70</xdr:row>
      <xdr:rowOff>104776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8A4AEE4E-DC53-412A-BFF4-1236A75A0D6D}"/>
            </a:ext>
          </a:extLst>
        </xdr:cNvPr>
        <xdr:cNvSpPr txBox="1"/>
      </xdr:nvSpPr>
      <xdr:spPr>
        <a:xfrm>
          <a:off x="10125075" y="12430127"/>
          <a:ext cx="1057275" cy="3047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Anthony</a:t>
          </a:r>
        </a:p>
      </xdr:txBody>
    </xdr:sp>
    <xdr:clientData/>
  </xdr:twoCellAnchor>
  <xdr:twoCellAnchor>
    <xdr:from>
      <xdr:col>18</xdr:col>
      <xdr:colOff>361950</xdr:colOff>
      <xdr:row>68</xdr:row>
      <xdr:rowOff>123827</xdr:rowOff>
    </xdr:from>
    <xdr:to>
      <xdr:col>19</xdr:col>
      <xdr:colOff>428625</xdr:colOff>
      <xdr:row>71</xdr:row>
      <xdr:rowOff>9526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5BA00FB7-000F-4203-859A-B444D5DF11F7}"/>
            </a:ext>
          </a:extLst>
        </xdr:cNvPr>
        <xdr:cNvSpPr txBox="1"/>
      </xdr:nvSpPr>
      <xdr:spPr>
        <a:xfrm>
          <a:off x="11334750" y="12430127"/>
          <a:ext cx="676275" cy="3714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Mary</a:t>
          </a:r>
        </a:p>
      </xdr:txBody>
    </xdr:sp>
    <xdr:clientData/>
  </xdr:twoCellAnchor>
  <xdr:twoCellAnchor>
    <xdr:from>
      <xdr:col>20</xdr:col>
      <xdr:colOff>142874</xdr:colOff>
      <xdr:row>68</xdr:row>
      <xdr:rowOff>104776</xdr:rowOff>
    </xdr:from>
    <xdr:to>
      <xdr:col>21</xdr:col>
      <xdr:colOff>238125</xdr:colOff>
      <xdr:row>70</xdr:row>
      <xdr:rowOff>114301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DD91548E-681E-46E6-AC0D-33F2B7EE6549}"/>
            </a:ext>
          </a:extLst>
        </xdr:cNvPr>
        <xdr:cNvSpPr txBox="1"/>
      </xdr:nvSpPr>
      <xdr:spPr>
        <a:xfrm>
          <a:off x="12334874" y="12411076"/>
          <a:ext cx="704851" cy="333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Brett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1</xdr:row>
      <xdr:rowOff>14285</xdr:rowOff>
    </xdr:from>
    <xdr:to>
      <xdr:col>29</xdr:col>
      <xdr:colOff>104775</xdr:colOff>
      <xdr:row>35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209550</xdr:colOff>
      <xdr:row>40</xdr:row>
      <xdr:rowOff>23811</xdr:rowOff>
    </xdr:from>
    <xdr:to>
      <xdr:col>29</xdr:col>
      <xdr:colOff>419100</xdr:colOff>
      <xdr:row>61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295275</xdr:colOff>
      <xdr:row>34</xdr:row>
      <xdr:rowOff>38099</xdr:rowOff>
    </xdr:from>
    <xdr:to>
      <xdr:col>16</xdr:col>
      <xdr:colOff>466725</xdr:colOff>
      <xdr:row>36</xdr:row>
      <xdr:rowOff>66674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0639425" y="6029324"/>
          <a:ext cx="781050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Emily</a:t>
          </a:r>
        </a:p>
      </xdr:txBody>
    </xdr:sp>
    <xdr:clientData/>
  </xdr:twoCellAnchor>
  <xdr:twoCellAnchor>
    <xdr:from>
      <xdr:col>19</xdr:col>
      <xdr:colOff>142874</xdr:colOff>
      <xdr:row>34</xdr:row>
      <xdr:rowOff>104775</xdr:rowOff>
    </xdr:from>
    <xdr:to>
      <xdr:col>20</xdr:col>
      <xdr:colOff>380999</xdr:colOff>
      <xdr:row>37</xdr:row>
      <xdr:rowOff>19050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12925424" y="6096000"/>
          <a:ext cx="847725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Hunter</a:t>
          </a:r>
        </a:p>
      </xdr:txBody>
    </xdr:sp>
    <xdr:clientData/>
  </xdr:twoCellAnchor>
  <xdr:twoCellAnchor>
    <xdr:from>
      <xdr:col>17</xdr:col>
      <xdr:colOff>228601</xdr:colOff>
      <xdr:row>34</xdr:row>
      <xdr:rowOff>66676</xdr:rowOff>
    </xdr:from>
    <xdr:to>
      <xdr:col>18</xdr:col>
      <xdr:colOff>381001</xdr:colOff>
      <xdr:row>36</xdr:row>
      <xdr:rowOff>85726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1791951" y="6057901"/>
          <a:ext cx="762000" cy="361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Todd</a:t>
          </a:r>
        </a:p>
      </xdr:txBody>
    </xdr:sp>
    <xdr:clientData/>
  </xdr:twoCellAnchor>
  <xdr:twoCellAnchor>
    <xdr:from>
      <xdr:col>20</xdr:col>
      <xdr:colOff>552450</xdr:colOff>
      <xdr:row>35</xdr:row>
      <xdr:rowOff>9526</xdr:rowOff>
    </xdr:from>
    <xdr:to>
      <xdr:col>22</xdr:col>
      <xdr:colOff>390525</xdr:colOff>
      <xdr:row>36</xdr:row>
      <xdr:rowOff>142875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13944600" y="6172201"/>
          <a:ext cx="1057275" cy="3047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Anthony</a:t>
          </a:r>
        </a:p>
      </xdr:txBody>
    </xdr:sp>
    <xdr:clientData/>
  </xdr:twoCellAnchor>
  <xdr:twoCellAnchor>
    <xdr:from>
      <xdr:col>23</xdr:col>
      <xdr:colOff>123825</xdr:colOff>
      <xdr:row>34</xdr:row>
      <xdr:rowOff>123826</xdr:rowOff>
    </xdr:from>
    <xdr:to>
      <xdr:col>24</xdr:col>
      <xdr:colOff>190500</xdr:colOff>
      <xdr:row>36</xdr:row>
      <xdr:rowOff>152400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15344775" y="6115051"/>
          <a:ext cx="676275" cy="3714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Mary</a:t>
          </a:r>
        </a:p>
      </xdr:txBody>
    </xdr:sp>
    <xdr:clientData/>
  </xdr:twoCellAnchor>
  <xdr:twoCellAnchor>
    <xdr:from>
      <xdr:col>25</xdr:col>
      <xdr:colOff>76199</xdr:colOff>
      <xdr:row>34</xdr:row>
      <xdr:rowOff>95250</xdr:rowOff>
    </xdr:from>
    <xdr:to>
      <xdr:col>26</xdr:col>
      <xdr:colOff>171450</xdr:colOff>
      <xdr:row>36</xdr:row>
      <xdr:rowOff>85725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6516349" y="6086475"/>
          <a:ext cx="704851" cy="333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Brett</a:t>
          </a:r>
        </a:p>
      </xdr:txBody>
    </xdr:sp>
    <xdr:clientData/>
  </xdr:twoCellAnchor>
  <xdr:twoCellAnchor>
    <xdr:from>
      <xdr:col>15</xdr:col>
      <xdr:colOff>361950</xdr:colOff>
      <xdr:row>60</xdr:row>
      <xdr:rowOff>123825</xdr:rowOff>
    </xdr:from>
    <xdr:to>
      <xdr:col>16</xdr:col>
      <xdr:colOff>533400</xdr:colOff>
      <xdr:row>62</xdr:row>
      <xdr:rowOff>152400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10706100" y="10734675"/>
          <a:ext cx="781050" cy="371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Emily</a:t>
          </a:r>
        </a:p>
      </xdr:txBody>
    </xdr:sp>
    <xdr:clientData/>
  </xdr:twoCellAnchor>
  <xdr:twoCellAnchor>
    <xdr:from>
      <xdr:col>17</xdr:col>
      <xdr:colOff>352426</xdr:colOff>
      <xdr:row>61</xdr:row>
      <xdr:rowOff>19051</xdr:rowOff>
    </xdr:from>
    <xdr:to>
      <xdr:col>18</xdr:col>
      <xdr:colOff>504826</xdr:colOff>
      <xdr:row>63</xdr:row>
      <xdr:rowOff>38101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1915776" y="10801351"/>
          <a:ext cx="762000" cy="361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Todd</a:t>
          </a:r>
        </a:p>
      </xdr:txBody>
    </xdr:sp>
    <xdr:clientData/>
  </xdr:twoCellAnchor>
  <xdr:twoCellAnchor>
    <xdr:from>
      <xdr:col>19</xdr:col>
      <xdr:colOff>304800</xdr:colOff>
      <xdr:row>61</xdr:row>
      <xdr:rowOff>38100</xdr:rowOff>
    </xdr:from>
    <xdr:to>
      <xdr:col>20</xdr:col>
      <xdr:colOff>542925</xdr:colOff>
      <xdr:row>63</xdr:row>
      <xdr:rowOff>123825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13087350" y="10820400"/>
          <a:ext cx="847725" cy="428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Hunter</a:t>
          </a:r>
        </a:p>
      </xdr:txBody>
    </xdr:sp>
    <xdr:clientData/>
  </xdr:twoCellAnchor>
  <xdr:twoCellAnchor>
    <xdr:from>
      <xdr:col>21</xdr:col>
      <xdr:colOff>171450</xdr:colOff>
      <xdr:row>61</xdr:row>
      <xdr:rowOff>38100</xdr:rowOff>
    </xdr:from>
    <xdr:to>
      <xdr:col>23</xdr:col>
      <xdr:colOff>9525</xdr:colOff>
      <xdr:row>62</xdr:row>
      <xdr:rowOff>171449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4173200" y="10820400"/>
          <a:ext cx="1057275" cy="3047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Anthony</a:t>
          </a:r>
        </a:p>
      </xdr:txBody>
    </xdr:sp>
    <xdr:clientData/>
  </xdr:twoCellAnchor>
  <xdr:twoCellAnchor>
    <xdr:from>
      <xdr:col>23</xdr:col>
      <xdr:colOff>371475</xdr:colOff>
      <xdr:row>61</xdr:row>
      <xdr:rowOff>47625</xdr:rowOff>
    </xdr:from>
    <xdr:to>
      <xdr:col>24</xdr:col>
      <xdr:colOff>438150</xdr:colOff>
      <xdr:row>63</xdr:row>
      <xdr:rowOff>76199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15592425" y="10829925"/>
          <a:ext cx="676275" cy="3714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Mary</a:t>
          </a:r>
        </a:p>
      </xdr:txBody>
    </xdr:sp>
    <xdr:clientData/>
  </xdr:twoCellAnchor>
  <xdr:twoCellAnchor>
    <xdr:from>
      <xdr:col>25</xdr:col>
      <xdr:colOff>342900</xdr:colOff>
      <xdr:row>61</xdr:row>
      <xdr:rowOff>66675</xdr:rowOff>
    </xdr:from>
    <xdr:to>
      <xdr:col>26</xdr:col>
      <xdr:colOff>438151</xdr:colOff>
      <xdr:row>63</xdr:row>
      <xdr:rowOff>57150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16783050" y="10848975"/>
          <a:ext cx="704851" cy="333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/>
            <a:t>Brett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342899</xdr:colOff>
      <xdr:row>2</xdr:row>
      <xdr:rowOff>152400</xdr:rowOff>
    </xdr:from>
    <xdr:to>
      <xdr:col>29</xdr:col>
      <xdr:colOff>57150</xdr:colOff>
      <xdr:row>40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333375</xdr:colOff>
      <xdr:row>41</xdr:row>
      <xdr:rowOff>114299</xdr:rowOff>
    </xdr:from>
    <xdr:to>
      <xdr:col>29</xdr:col>
      <xdr:colOff>19050</xdr:colOff>
      <xdr:row>82</xdr:row>
      <xdr:rowOff>19049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66674</xdr:colOff>
      <xdr:row>3</xdr:row>
      <xdr:rowOff>180975</xdr:rowOff>
    </xdr:from>
    <xdr:to>
      <xdr:col>26</xdr:col>
      <xdr:colOff>209549</xdr:colOff>
      <xdr:row>28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400049</xdr:colOff>
      <xdr:row>3</xdr:row>
      <xdr:rowOff>190499</xdr:rowOff>
    </xdr:from>
    <xdr:to>
      <xdr:col>38</xdr:col>
      <xdr:colOff>66674</xdr:colOff>
      <xdr:row>28</xdr:row>
      <xdr:rowOff>85724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85724</xdr:colOff>
      <xdr:row>29</xdr:row>
      <xdr:rowOff>180975</xdr:rowOff>
    </xdr:from>
    <xdr:to>
      <xdr:col>26</xdr:col>
      <xdr:colOff>190499</xdr:colOff>
      <xdr:row>52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333374</xdr:colOff>
      <xdr:row>30</xdr:row>
      <xdr:rowOff>95250</xdr:rowOff>
    </xdr:from>
    <xdr:to>
      <xdr:col>38</xdr:col>
      <xdr:colOff>380999</xdr:colOff>
      <xdr:row>53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21"/>
  <sheetViews>
    <sheetView workbookViewId="0">
      <selection activeCell="G63" sqref="G63"/>
    </sheetView>
  </sheetViews>
  <sheetFormatPr defaultRowHeight="12.75" x14ac:dyDescent="0.2"/>
  <sheetData>
    <row r="1" spans="1:11" ht="13.5" thickBot="1" x14ac:dyDescent="0.25">
      <c r="A1" t="s">
        <v>9</v>
      </c>
      <c r="B1" t="s">
        <v>10</v>
      </c>
      <c r="C1" t="s">
        <v>11</v>
      </c>
      <c r="G1" s="5" t="s">
        <v>132</v>
      </c>
      <c r="H1" s="5" t="s">
        <v>133</v>
      </c>
      <c r="I1" s="5"/>
      <c r="J1" s="5" t="s">
        <v>134</v>
      </c>
      <c r="K1" s="5" t="s">
        <v>135</v>
      </c>
    </row>
    <row r="2" spans="1:11" ht="13.5" thickBot="1" x14ac:dyDescent="0.25">
      <c r="A2" s="18" t="s">
        <v>12</v>
      </c>
      <c r="B2">
        <v>0</v>
      </c>
      <c r="C2">
        <v>6.5</v>
      </c>
      <c r="G2" s="5">
        <f>_xlfn.STDEV.S(B2:B121)</f>
        <v>0.61424214880366745</v>
      </c>
      <c r="H2" s="5">
        <f>_xlfn.STDEV.S(C2:C121)</f>
        <v>3.8216337414490038</v>
      </c>
      <c r="I2" s="5"/>
      <c r="J2" s="5">
        <f>AVERAGE(B2:B121)</f>
        <v>0.27916666666666667</v>
      </c>
      <c r="K2" s="5">
        <f>AVERAGE(C2:C121)</f>
        <v>-0.73750000000000004</v>
      </c>
    </row>
    <row r="3" spans="1:11" ht="13.5" thickBot="1" x14ac:dyDescent="0.25">
      <c r="A3" s="18" t="s">
        <v>13</v>
      </c>
      <c r="B3">
        <v>0.5</v>
      </c>
      <c r="C3">
        <v>-3.5</v>
      </c>
    </row>
    <row r="4" spans="1:11" ht="13.5" thickBot="1" x14ac:dyDescent="0.25">
      <c r="A4" s="18" t="s">
        <v>14</v>
      </c>
      <c r="B4">
        <v>1</v>
      </c>
      <c r="C4">
        <v>-3.5</v>
      </c>
    </row>
    <row r="5" spans="1:11" ht="13.5" thickBot="1" x14ac:dyDescent="0.25">
      <c r="A5" s="18" t="s">
        <v>15</v>
      </c>
      <c r="B5">
        <v>-0.5</v>
      </c>
      <c r="C5">
        <v>-8.5</v>
      </c>
    </row>
    <row r="6" spans="1:11" ht="13.5" thickBot="1" x14ac:dyDescent="0.25">
      <c r="A6" s="18" t="s">
        <v>16</v>
      </c>
      <c r="B6">
        <v>-0.5</v>
      </c>
      <c r="C6">
        <v>-2.5</v>
      </c>
    </row>
    <row r="7" spans="1:11" ht="13.5" thickBot="1" x14ac:dyDescent="0.25">
      <c r="A7" s="18" t="s">
        <v>17</v>
      </c>
      <c r="B7">
        <v>0</v>
      </c>
      <c r="C7">
        <v>0</v>
      </c>
    </row>
    <row r="8" spans="1:11" ht="13.5" thickBot="1" x14ac:dyDescent="0.25">
      <c r="A8" s="18" t="s">
        <v>18</v>
      </c>
      <c r="B8">
        <v>0.5</v>
      </c>
      <c r="C8">
        <v>3.5</v>
      </c>
    </row>
    <row r="9" spans="1:11" ht="13.5" thickBot="1" x14ac:dyDescent="0.25">
      <c r="A9" s="18" t="s">
        <v>19</v>
      </c>
      <c r="B9">
        <v>2</v>
      </c>
      <c r="C9">
        <v>3</v>
      </c>
    </row>
    <row r="10" spans="1:11" ht="13.5" thickBot="1" x14ac:dyDescent="0.25">
      <c r="A10" s="18" t="s">
        <v>20</v>
      </c>
      <c r="B10">
        <v>0.5</v>
      </c>
      <c r="C10">
        <v>-6</v>
      </c>
    </row>
    <row r="11" spans="1:11" ht="13.5" thickBot="1" x14ac:dyDescent="0.25">
      <c r="A11" s="18" t="s">
        <v>21</v>
      </c>
      <c r="B11">
        <v>0.5</v>
      </c>
      <c r="C11">
        <v>-2</v>
      </c>
    </row>
    <row r="12" spans="1:11" ht="13.5" thickBot="1" x14ac:dyDescent="0.25">
      <c r="A12" s="18" t="s">
        <v>22</v>
      </c>
      <c r="B12">
        <v>0.5</v>
      </c>
      <c r="C12">
        <v>-3.5</v>
      </c>
    </row>
    <row r="13" spans="1:11" ht="13.5" thickBot="1" x14ac:dyDescent="0.25">
      <c r="A13" s="18" t="s">
        <v>23</v>
      </c>
      <c r="B13">
        <v>-0.5</v>
      </c>
      <c r="C13">
        <v>-1.5</v>
      </c>
    </row>
    <row r="14" spans="1:11" ht="13.5" thickBot="1" x14ac:dyDescent="0.25">
      <c r="A14" s="18" t="s">
        <v>24</v>
      </c>
      <c r="B14">
        <v>0</v>
      </c>
      <c r="C14">
        <v>-7.5</v>
      </c>
    </row>
    <row r="15" spans="1:11" ht="13.5" thickBot="1" x14ac:dyDescent="0.25">
      <c r="A15" s="18" t="s">
        <v>25</v>
      </c>
      <c r="B15">
        <v>-0.5</v>
      </c>
      <c r="C15">
        <v>-2.5</v>
      </c>
    </row>
    <row r="16" spans="1:11" ht="13.5" thickBot="1" x14ac:dyDescent="0.25">
      <c r="A16" s="18" t="s">
        <v>26</v>
      </c>
      <c r="B16">
        <v>0</v>
      </c>
      <c r="C16">
        <v>-4.5</v>
      </c>
    </row>
    <row r="17" spans="1:3" ht="13.5" thickBot="1" x14ac:dyDescent="0.25">
      <c r="A17" s="18" t="s">
        <v>27</v>
      </c>
      <c r="B17">
        <v>-0.5</v>
      </c>
      <c r="C17">
        <v>-8.5</v>
      </c>
    </row>
    <row r="18" spans="1:3" ht="13.5" thickBot="1" x14ac:dyDescent="0.25">
      <c r="A18" s="18" t="s">
        <v>28</v>
      </c>
      <c r="B18">
        <v>0.5</v>
      </c>
      <c r="C18">
        <v>-2.5</v>
      </c>
    </row>
    <row r="19" spans="1:3" ht="13.5" thickBot="1" x14ac:dyDescent="0.25">
      <c r="A19" s="18" t="s">
        <v>29</v>
      </c>
      <c r="B19">
        <v>1</v>
      </c>
      <c r="C19">
        <v>-5</v>
      </c>
    </row>
    <row r="20" spans="1:3" ht="13.5" thickBot="1" x14ac:dyDescent="0.25">
      <c r="A20" s="18" t="s">
        <v>30</v>
      </c>
      <c r="B20">
        <v>-1.5</v>
      </c>
      <c r="C20">
        <v>-0.5</v>
      </c>
    </row>
    <row r="21" spans="1:3" ht="13.5" thickBot="1" x14ac:dyDescent="0.25">
      <c r="A21" s="18" t="s">
        <v>31</v>
      </c>
      <c r="B21">
        <v>1</v>
      </c>
      <c r="C21">
        <v>4</v>
      </c>
    </row>
    <row r="22" spans="1:3" ht="13.5" thickBot="1" x14ac:dyDescent="0.25">
      <c r="A22" s="18" t="s">
        <v>32</v>
      </c>
      <c r="B22">
        <v>1</v>
      </c>
      <c r="C22">
        <v>-3</v>
      </c>
    </row>
    <row r="23" spans="1:3" ht="13.5" thickBot="1" x14ac:dyDescent="0.25">
      <c r="A23" s="18" t="s">
        <v>33</v>
      </c>
      <c r="B23">
        <v>0</v>
      </c>
      <c r="C23">
        <v>-0.5</v>
      </c>
    </row>
    <row r="24" spans="1:3" ht="13.5" thickBot="1" x14ac:dyDescent="0.25">
      <c r="A24" s="18" t="s">
        <v>34</v>
      </c>
      <c r="B24">
        <v>0</v>
      </c>
      <c r="C24">
        <v>-4.5</v>
      </c>
    </row>
    <row r="25" spans="1:3" ht="13.5" thickBot="1" x14ac:dyDescent="0.25">
      <c r="A25" s="18" t="s">
        <v>35</v>
      </c>
      <c r="B25">
        <v>1</v>
      </c>
      <c r="C25">
        <v>-4</v>
      </c>
    </row>
    <row r="26" spans="1:3" ht="13.5" thickBot="1" x14ac:dyDescent="0.25">
      <c r="A26" s="18" t="s">
        <v>36</v>
      </c>
      <c r="B26">
        <v>-0.5</v>
      </c>
      <c r="C26">
        <v>-1.5</v>
      </c>
    </row>
    <row r="27" spans="1:3" ht="13.5" thickBot="1" x14ac:dyDescent="0.25">
      <c r="A27" s="18" t="s">
        <v>37</v>
      </c>
      <c r="B27">
        <v>0</v>
      </c>
      <c r="C27">
        <v>-3</v>
      </c>
    </row>
    <row r="28" spans="1:3" ht="13.5" thickBot="1" x14ac:dyDescent="0.25">
      <c r="A28" s="18" t="s">
        <v>38</v>
      </c>
      <c r="B28">
        <v>0</v>
      </c>
      <c r="C28">
        <v>-2</v>
      </c>
    </row>
    <row r="29" spans="1:3" ht="13.5" thickBot="1" x14ac:dyDescent="0.25">
      <c r="A29" s="18" t="s">
        <v>39</v>
      </c>
      <c r="B29">
        <v>-0.5</v>
      </c>
      <c r="C29">
        <v>1.5</v>
      </c>
    </row>
    <row r="30" spans="1:3" ht="13.5" thickBot="1" x14ac:dyDescent="0.25">
      <c r="A30" s="18" t="s">
        <v>40</v>
      </c>
      <c r="B30">
        <v>0</v>
      </c>
      <c r="C30">
        <v>-1.5</v>
      </c>
    </row>
    <row r="31" spans="1:3" ht="13.5" thickBot="1" x14ac:dyDescent="0.25">
      <c r="A31" s="18" t="s">
        <v>41</v>
      </c>
      <c r="B31">
        <v>0.5</v>
      </c>
      <c r="C31">
        <v>-3</v>
      </c>
    </row>
    <row r="32" spans="1:3" ht="13.5" thickBot="1" x14ac:dyDescent="0.25">
      <c r="A32" s="18" t="s">
        <v>42</v>
      </c>
      <c r="B32">
        <v>0.5</v>
      </c>
      <c r="C32">
        <v>-1</v>
      </c>
    </row>
    <row r="33" spans="1:3" ht="13.5" thickBot="1" x14ac:dyDescent="0.25">
      <c r="A33" s="18" t="s">
        <v>43</v>
      </c>
      <c r="B33">
        <v>0.5</v>
      </c>
      <c r="C33">
        <v>-6.5</v>
      </c>
    </row>
    <row r="34" spans="1:3" ht="13.5" thickBot="1" x14ac:dyDescent="0.25">
      <c r="A34" s="18" t="s">
        <v>44</v>
      </c>
      <c r="B34">
        <v>0</v>
      </c>
      <c r="C34">
        <v>-6.5</v>
      </c>
    </row>
    <row r="35" spans="1:3" ht="13.5" thickBot="1" x14ac:dyDescent="0.25">
      <c r="A35" s="18" t="s">
        <v>45</v>
      </c>
      <c r="B35">
        <v>0.5</v>
      </c>
      <c r="C35">
        <v>-5</v>
      </c>
    </row>
    <row r="36" spans="1:3" ht="13.5" thickBot="1" x14ac:dyDescent="0.25">
      <c r="A36" s="18" t="s">
        <v>46</v>
      </c>
      <c r="B36">
        <v>1.5</v>
      </c>
      <c r="C36">
        <v>-2.5</v>
      </c>
    </row>
    <row r="37" spans="1:3" ht="13.5" thickBot="1" x14ac:dyDescent="0.25">
      <c r="A37" s="18" t="s">
        <v>47</v>
      </c>
      <c r="B37">
        <v>0</v>
      </c>
      <c r="C37">
        <v>-4</v>
      </c>
    </row>
    <row r="38" spans="1:3" ht="13.5" thickBot="1" x14ac:dyDescent="0.25">
      <c r="A38" s="18" t="s">
        <v>48</v>
      </c>
      <c r="B38">
        <v>0.5</v>
      </c>
      <c r="C38">
        <v>-4</v>
      </c>
    </row>
    <row r="39" spans="1:3" ht="13.5" thickBot="1" x14ac:dyDescent="0.25">
      <c r="A39" s="18" t="s">
        <v>49</v>
      </c>
      <c r="B39">
        <v>0</v>
      </c>
      <c r="C39">
        <v>-3</v>
      </c>
    </row>
    <row r="40" spans="1:3" ht="13.5" thickBot="1" x14ac:dyDescent="0.25">
      <c r="A40" s="18" t="s">
        <v>50</v>
      </c>
      <c r="B40">
        <v>0.5</v>
      </c>
      <c r="C40">
        <v>-5.5</v>
      </c>
    </row>
    <row r="41" spans="1:3" ht="13.5" thickBot="1" x14ac:dyDescent="0.25">
      <c r="A41" s="18" t="s">
        <v>51</v>
      </c>
      <c r="B41">
        <v>0</v>
      </c>
      <c r="C41">
        <v>-4.5</v>
      </c>
    </row>
    <row r="42" spans="1:3" ht="13.5" thickBot="1" x14ac:dyDescent="0.25">
      <c r="A42" s="18" t="s">
        <v>52</v>
      </c>
      <c r="B42">
        <v>0</v>
      </c>
      <c r="C42">
        <v>8.5</v>
      </c>
    </row>
    <row r="43" spans="1:3" ht="13.5" thickBot="1" x14ac:dyDescent="0.25">
      <c r="A43" s="18" t="s">
        <v>53</v>
      </c>
      <c r="B43">
        <v>-1</v>
      </c>
      <c r="C43">
        <v>6</v>
      </c>
    </row>
    <row r="44" spans="1:3" ht="13.5" thickBot="1" x14ac:dyDescent="0.25">
      <c r="A44" s="18" t="s">
        <v>54</v>
      </c>
      <c r="B44">
        <v>0</v>
      </c>
      <c r="C44">
        <v>-1.5</v>
      </c>
    </row>
    <row r="45" spans="1:3" ht="13.5" thickBot="1" x14ac:dyDescent="0.25">
      <c r="A45" s="18" t="s">
        <v>55</v>
      </c>
      <c r="B45">
        <v>1</v>
      </c>
      <c r="C45">
        <v>-6</v>
      </c>
    </row>
    <row r="46" spans="1:3" ht="13.5" thickBot="1" x14ac:dyDescent="0.25">
      <c r="A46" s="18" t="s">
        <v>56</v>
      </c>
      <c r="B46">
        <v>0</v>
      </c>
      <c r="C46">
        <v>6.5</v>
      </c>
    </row>
    <row r="47" spans="1:3" ht="13.5" thickBot="1" x14ac:dyDescent="0.25">
      <c r="A47" s="18" t="s">
        <v>57</v>
      </c>
      <c r="B47">
        <v>0</v>
      </c>
      <c r="C47">
        <v>1</v>
      </c>
    </row>
    <row r="48" spans="1:3" ht="13.5" thickBot="1" x14ac:dyDescent="0.25">
      <c r="A48" s="18" t="s">
        <v>58</v>
      </c>
      <c r="B48">
        <v>1.5</v>
      </c>
      <c r="C48">
        <v>6.5</v>
      </c>
    </row>
    <row r="49" spans="1:3" ht="13.5" thickBot="1" x14ac:dyDescent="0.25">
      <c r="A49" s="18" t="s">
        <v>59</v>
      </c>
      <c r="B49">
        <v>-0.5</v>
      </c>
      <c r="C49">
        <v>8</v>
      </c>
    </row>
    <row r="50" spans="1:3" ht="13.5" thickBot="1" x14ac:dyDescent="0.25">
      <c r="A50" s="18" t="s">
        <v>60</v>
      </c>
      <c r="B50">
        <v>0</v>
      </c>
      <c r="C50">
        <v>2.5</v>
      </c>
    </row>
    <row r="51" spans="1:3" ht="13.5" thickBot="1" x14ac:dyDescent="0.25">
      <c r="A51" s="18" t="s">
        <v>61</v>
      </c>
      <c r="B51">
        <v>1.5</v>
      </c>
      <c r="C51">
        <v>-0.5</v>
      </c>
    </row>
    <row r="52" spans="1:3" ht="13.5" thickBot="1" x14ac:dyDescent="0.25">
      <c r="A52" s="18" t="s">
        <v>62</v>
      </c>
      <c r="B52">
        <v>1</v>
      </c>
      <c r="C52">
        <v>6</v>
      </c>
    </row>
    <row r="53" spans="1:3" ht="13.5" thickBot="1" x14ac:dyDescent="0.25">
      <c r="A53" s="18" t="s">
        <v>63</v>
      </c>
      <c r="B53">
        <v>0.5</v>
      </c>
      <c r="C53">
        <v>3</v>
      </c>
    </row>
    <row r="54" spans="1:3" ht="13.5" thickBot="1" x14ac:dyDescent="0.25">
      <c r="A54" s="18" t="s">
        <v>64</v>
      </c>
      <c r="B54">
        <v>0.5</v>
      </c>
      <c r="C54">
        <v>8</v>
      </c>
    </row>
    <row r="55" spans="1:3" ht="13.5" thickBot="1" x14ac:dyDescent="0.25">
      <c r="A55" s="18" t="s">
        <v>65</v>
      </c>
      <c r="B55">
        <v>1</v>
      </c>
      <c r="C55">
        <v>6</v>
      </c>
    </row>
    <row r="56" spans="1:3" ht="13.5" thickBot="1" x14ac:dyDescent="0.25">
      <c r="A56" s="18" t="s">
        <v>66</v>
      </c>
      <c r="B56">
        <v>-0.5</v>
      </c>
      <c r="C56">
        <v>-2.5</v>
      </c>
    </row>
    <row r="57" spans="1:3" ht="13.5" thickBot="1" x14ac:dyDescent="0.25">
      <c r="A57" s="18" t="s">
        <v>67</v>
      </c>
      <c r="B57">
        <v>1.5</v>
      </c>
      <c r="C57">
        <v>-2</v>
      </c>
    </row>
    <row r="58" spans="1:3" ht="13.5" thickBot="1" x14ac:dyDescent="0.25">
      <c r="A58" s="18" t="s">
        <v>68</v>
      </c>
      <c r="B58">
        <v>0.5</v>
      </c>
      <c r="C58">
        <v>8</v>
      </c>
    </row>
    <row r="59" spans="1:3" ht="13.5" thickBot="1" x14ac:dyDescent="0.25">
      <c r="A59" s="18" t="s">
        <v>69</v>
      </c>
      <c r="B59">
        <v>1</v>
      </c>
      <c r="C59">
        <v>1.5</v>
      </c>
    </row>
    <row r="60" spans="1:3" ht="13.5" thickBot="1" x14ac:dyDescent="0.25">
      <c r="A60" s="18" t="s">
        <v>70</v>
      </c>
      <c r="B60">
        <v>0</v>
      </c>
      <c r="C60">
        <v>-5</v>
      </c>
    </row>
    <row r="61" spans="1:3" ht="13.5" thickBot="1" x14ac:dyDescent="0.25">
      <c r="A61" s="18" t="s">
        <v>71</v>
      </c>
      <c r="B61">
        <v>0</v>
      </c>
      <c r="C61">
        <v>1</v>
      </c>
    </row>
    <row r="62" spans="1:3" ht="13.5" thickBot="1" x14ac:dyDescent="0.25">
      <c r="A62" s="18" t="s">
        <v>72</v>
      </c>
      <c r="B62">
        <v>0</v>
      </c>
      <c r="C62">
        <v>2.5</v>
      </c>
    </row>
    <row r="63" spans="1:3" ht="13.5" thickBot="1" x14ac:dyDescent="0.25">
      <c r="A63" s="18" t="s">
        <v>73</v>
      </c>
      <c r="B63">
        <v>0.5</v>
      </c>
      <c r="C63">
        <v>-3</v>
      </c>
    </row>
    <row r="64" spans="1:3" ht="13.5" thickBot="1" x14ac:dyDescent="0.25">
      <c r="A64" s="18" t="s">
        <v>74</v>
      </c>
      <c r="B64">
        <v>1</v>
      </c>
      <c r="C64">
        <v>-2</v>
      </c>
    </row>
    <row r="65" spans="1:3" ht="13.5" thickBot="1" x14ac:dyDescent="0.25">
      <c r="A65" s="18" t="s">
        <v>75</v>
      </c>
      <c r="B65">
        <v>1</v>
      </c>
      <c r="C65">
        <v>0.5</v>
      </c>
    </row>
    <row r="66" spans="1:3" ht="13.5" thickBot="1" x14ac:dyDescent="0.25">
      <c r="A66" s="18" t="s">
        <v>76</v>
      </c>
      <c r="B66">
        <v>0</v>
      </c>
      <c r="C66">
        <v>-3</v>
      </c>
    </row>
    <row r="67" spans="1:3" ht="13.5" thickBot="1" x14ac:dyDescent="0.25">
      <c r="A67" s="18" t="s">
        <v>77</v>
      </c>
      <c r="B67">
        <v>0</v>
      </c>
      <c r="C67">
        <v>-2.5</v>
      </c>
    </row>
    <row r="68" spans="1:3" ht="13.5" thickBot="1" x14ac:dyDescent="0.25">
      <c r="A68" s="18" t="s">
        <v>78</v>
      </c>
      <c r="B68">
        <v>0</v>
      </c>
      <c r="C68">
        <v>1.5</v>
      </c>
    </row>
    <row r="69" spans="1:3" ht="13.5" thickBot="1" x14ac:dyDescent="0.25">
      <c r="A69" s="18" t="s">
        <v>79</v>
      </c>
      <c r="B69">
        <v>0.5</v>
      </c>
      <c r="C69">
        <v>-3.5</v>
      </c>
    </row>
    <row r="70" spans="1:3" ht="13.5" thickBot="1" x14ac:dyDescent="0.25">
      <c r="A70" s="18" t="s">
        <v>80</v>
      </c>
      <c r="B70">
        <v>1</v>
      </c>
      <c r="C70">
        <v>0</v>
      </c>
    </row>
    <row r="71" spans="1:3" ht="13.5" thickBot="1" x14ac:dyDescent="0.25">
      <c r="A71" s="18" t="s">
        <v>81</v>
      </c>
      <c r="B71">
        <v>0.5</v>
      </c>
      <c r="C71">
        <v>-4</v>
      </c>
    </row>
    <row r="72" spans="1:3" ht="13.5" thickBot="1" x14ac:dyDescent="0.25">
      <c r="A72" s="18" t="s">
        <v>82</v>
      </c>
      <c r="B72">
        <v>0</v>
      </c>
      <c r="C72">
        <v>-2.5</v>
      </c>
    </row>
    <row r="73" spans="1:3" ht="13.5" thickBot="1" x14ac:dyDescent="0.25">
      <c r="A73" s="18" t="s">
        <v>83</v>
      </c>
      <c r="B73">
        <v>0.5</v>
      </c>
      <c r="C73">
        <v>-4.5</v>
      </c>
    </row>
    <row r="74" spans="1:3" ht="13.5" thickBot="1" x14ac:dyDescent="0.25">
      <c r="A74" s="18" t="s">
        <v>84</v>
      </c>
      <c r="B74">
        <v>0</v>
      </c>
      <c r="C74">
        <v>-5</v>
      </c>
    </row>
    <row r="75" spans="1:3" ht="13.5" thickBot="1" x14ac:dyDescent="0.25">
      <c r="A75" s="18" t="s">
        <v>85</v>
      </c>
      <c r="B75">
        <v>0.5</v>
      </c>
      <c r="C75">
        <v>0.5</v>
      </c>
    </row>
    <row r="76" spans="1:3" ht="13.5" thickBot="1" x14ac:dyDescent="0.25">
      <c r="A76" s="18" t="s">
        <v>86</v>
      </c>
      <c r="B76">
        <v>1</v>
      </c>
      <c r="C76">
        <v>-1</v>
      </c>
    </row>
    <row r="77" spans="1:3" ht="13.5" thickBot="1" x14ac:dyDescent="0.25">
      <c r="A77" s="18" t="s">
        <v>87</v>
      </c>
      <c r="B77">
        <v>0</v>
      </c>
      <c r="C77">
        <v>-4</v>
      </c>
    </row>
    <row r="78" spans="1:3" ht="13.5" thickBot="1" x14ac:dyDescent="0.25">
      <c r="A78" s="18" t="s">
        <v>88</v>
      </c>
      <c r="B78">
        <v>0.5</v>
      </c>
      <c r="C78">
        <v>0.5</v>
      </c>
    </row>
    <row r="79" spans="1:3" ht="13.5" thickBot="1" x14ac:dyDescent="0.25">
      <c r="A79" s="18" t="s">
        <v>89</v>
      </c>
      <c r="B79">
        <v>0</v>
      </c>
      <c r="C79">
        <v>-3</v>
      </c>
    </row>
    <row r="80" spans="1:3" ht="13.5" thickBot="1" x14ac:dyDescent="0.25">
      <c r="A80" s="18" t="s">
        <v>90</v>
      </c>
      <c r="B80">
        <v>0.5</v>
      </c>
      <c r="C80">
        <v>-0.5</v>
      </c>
    </row>
    <row r="81" spans="1:3" ht="13.5" thickBot="1" x14ac:dyDescent="0.25">
      <c r="A81" s="18" t="s">
        <v>91</v>
      </c>
      <c r="B81">
        <v>0</v>
      </c>
      <c r="C81">
        <v>-2.5</v>
      </c>
    </row>
    <row r="82" spans="1:3" ht="13.5" thickBot="1" x14ac:dyDescent="0.25">
      <c r="A82" s="18" t="s">
        <v>92</v>
      </c>
      <c r="B82">
        <v>0.5</v>
      </c>
      <c r="C82">
        <v>7</v>
      </c>
    </row>
    <row r="83" spans="1:3" ht="13.5" thickBot="1" x14ac:dyDescent="0.25">
      <c r="A83" s="18" t="s">
        <v>93</v>
      </c>
      <c r="B83">
        <v>1</v>
      </c>
      <c r="C83">
        <v>3</v>
      </c>
    </row>
    <row r="84" spans="1:3" ht="13.5" thickBot="1" x14ac:dyDescent="0.25">
      <c r="A84" s="18" t="s">
        <v>94</v>
      </c>
      <c r="B84">
        <v>0.5</v>
      </c>
      <c r="C84">
        <v>-1</v>
      </c>
    </row>
    <row r="85" spans="1:3" ht="13.5" thickBot="1" x14ac:dyDescent="0.25">
      <c r="A85" s="18" t="s">
        <v>95</v>
      </c>
      <c r="B85">
        <v>0</v>
      </c>
      <c r="C85">
        <v>-3</v>
      </c>
    </row>
    <row r="86" spans="1:3" ht="13.5" thickBot="1" x14ac:dyDescent="0.25">
      <c r="A86" s="18" t="s">
        <v>96</v>
      </c>
      <c r="B86">
        <v>-0.5</v>
      </c>
      <c r="C86">
        <v>-3.5</v>
      </c>
    </row>
    <row r="87" spans="1:3" ht="13.5" thickBot="1" x14ac:dyDescent="0.25">
      <c r="A87" s="18" t="s">
        <v>97</v>
      </c>
      <c r="B87">
        <v>-1</v>
      </c>
      <c r="C87">
        <v>-6.5</v>
      </c>
    </row>
    <row r="88" spans="1:3" ht="13.5" thickBot="1" x14ac:dyDescent="0.25">
      <c r="A88" s="18" t="s">
        <v>98</v>
      </c>
      <c r="B88">
        <v>0</v>
      </c>
      <c r="C88">
        <v>-1.5</v>
      </c>
    </row>
    <row r="89" spans="1:3" ht="13.5" thickBot="1" x14ac:dyDescent="0.25">
      <c r="A89" s="18" t="s">
        <v>99</v>
      </c>
      <c r="B89">
        <v>1</v>
      </c>
      <c r="C89">
        <v>-1</v>
      </c>
    </row>
    <row r="90" spans="1:3" ht="13.5" thickBot="1" x14ac:dyDescent="0.25">
      <c r="A90" s="18" t="s">
        <v>100</v>
      </c>
      <c r="B90">
        <v>0</v>
      </c>
      <c r="C90">
        <v>4</v>
      </c>
    </row>
    <row r="91" spans="1:3" ht="13.5" thickBot="1" x14ac:dyDescent="0.25">
      <c r="A91" s="18" t="s">
        <v>101</v>
      </c>
      <c r="B91">
        <v>1</v>
      </c>
      <c r="C91">
        <v>-3</v>
      </c>
    </row>
    <row r="92" spans="1:3" ht="13.5" thickBot="1" x14ac:dyDescent="0.25">
      <c r="A92" s="18" t="s">
        <v>102</v>
      </c>
      <c r="B92">
        <v>-1</v>
      </c>
      <c r="C92">
        <v>-4.5</v>
      </c>
    </row>
    <row r="93" spans="1:3" ht="13.5" thickBot="1" x14ac:dyDescent="0.25">
      <c r="A93" s="18" t="s">
        <v>103</v>
      </c>
      <c r="B93">
        <v>0</v>
      </c>
      <c r="C93">
        <v>-0.5</v>
      </c>
    </row>
    <row r="94" spans="1:3" ht="13.5" thickBot="1" x14ac:dyDescent="0.25">
      <c r="A94" s="18" t="s">
        <v>104</v>
      </c>
      <c r="B94">
        <v>0.5</v>
      </c>
      <c r="C94">
        <v>-0.5</v>
      </c>
    </row>
    <row r="95" spans="1:3" ht="13.5" thickBot="1" x14ac:dyDescent="0.25">
      <c r="A95" s="18" t="s">
        <v>105</v>
      </c>
      <c r="B95">
        <v>0.5</v>
      </c>
      <c r="C95">
        <v>-1.5</v>
      </c>
    </row>
    <row r="96" spans="1:3" ht="13.5" thickBot="1" x14ac:dyDescent="0.25">
      <c r="A96" s="18" t="s">
        <v>106</v>
      </c>
      <c r="B96">
        <v>0</v>
      </c>
      <c r="C96">
        <v>-3</v>
      </c>
    </row>
    <row r="97" spans="1:3" ht="13.5" thickBot="1" x14ac:dyDescent="0.25">
      <c r="A97" s="18" t="s">
        <v>107</v>
      </c>
      <c r="B97">
        <v>0.5</v>
      </c>
      <c r="C97">
        <v>-4.5</v>
      </c>
    </row>
    <row r="98" spans="1:3" ht="13.5" thickBot="1" x14ac:dyDescent="0.25">
      <c r="A98" s="18" t="s">
        <v>108</v>
      </c>
      <c r="B98">
        <v>-0.5</v>
      </c>
      <c r="C98">
        <v>-6</v>
      </c>
    </row>
    <row r="99" spans="1:3" ht="13.5" thickBot="1" x14ac:dyDescent="0.25">
      <c r="A99" s="18" t="s">
        <v>109</v>
      </c>
      <c r="B99">
        <v>0</v>
      </c>
      <c r="C99">
        <v>-3</v>
      </c>
    </row>
    <row r="100" spans="1:3" ht="13.5" thickBot="1" x14ac:dyDescent="0.25">
      <c r="A100" s="18" t="s">
        <v>110</v>
      </c>
      <c r="B100">
        <v>1</v>
      </c>
      <c r="C100">
        <v>0</v>
      </c>
    </row>
    <row r="101" spans="1:3" ht="13.5" thickBot="1" x14ac:dyDescent="0.25">
      <c r="A101" s="18" t="s">
        <v>111</v>
      </c>
      <c r="B101">
        <v>0.5</v>
      </c>
      <c r="C101">
        <v>-2</v>
      </c>
    </row>
    <row r="102" spans="1:3" ht="13.5" thickBot="1" x14ac:dyDescent="0.25">
      <c r="A102" s="18" t="s">
        <v>112</v>
      </c>
      <c r="B102">
        <v>2</v>
      </c>
      <c r="C102">
        <v>0.5</v>
      </c>
    </row>
    <row r="103" spans="1:3" ht="13.5" thickBot="1" x14ac:dyDescent="0.25">
      <c r="A103" s="18" t="s">
        <v>113</v>
      </c>
      <c r="B103">
        <v>0</v>
      </c>
      <c r="C103">
        <v>-1.5</v>
      </c>
    </row>
    <row r="104" spans="1:3" ht="13.5" thickBot="1" x14ac:dyDescent="0.25">
      <c r="A104" s="18" t="s">
        <v>114</v>
      </c>
      <c r="B104">
        <v>0.5</v>
      </c>
      <c r="C104">
        <v>5</v>
      </c>
    </row>
    <row r="105" spans="1:3" ht="13.5" thickBot="1" x14ac:dyDescent="0.25">
      <c r="A105" s="18" t="s">
        <v>115</v>
      </c>
      <c r="B105">
        <v>-0.5</v>
      </c>
      <c r="C105">
        <v>4</v>
      </c>
    </row>
    <row r="106" spans="1:3" ht="13.5" thickBot="1" x14ac:dyDescent="0.25">
      <c r="A106" s="18" t="s">
        <v>116</v>
      </c>
      <c r="B106">
        <v>0</v>
      </c>
      <c r="C106">
        <v>2.5</v>
      </c>
    </row>
    <row r="107" spans="1:3" ht="13.5" thickBot="1" x14ac:dyDescent="0.25">
      <c r="A107" s="18" t="s">
        <v>117</v>
      </c>
      <c r="B107">
        <v>0</v>
      </c>
      <c r="C107">
        <v>1</v>
      </c>
    </row>
    <row r="108" spans="1:3" ht="13.5" thickBot="1" x14ac:dyDescent="0.25">
      <c r="A108" s="18" t="s">
        <v>118</v>
      </c>
      <c r="B108">
        <v>-0.5</v>
      </c>
      <c r="C108">
        <v>1</v>
      </c>
    </row>
    <row r="109" spans="1:3" ht="13.5" thickBot="1" x14ac:dyDescent="0.25">
      <c r="A109" s="18" t="s">
        <v>119</v>
      </c>
      <c r="B109">
        <v>-0.5</v>
      </c>
      <c r="C109">
        <v>-1.5</v>
      </c>
    </row>
    <row r="110" spans="1:3" ht="13.5" thickBot="1" x14ac:dyDescent="0.25">
      <c r="A110" s="18" t="s">
        <v>120</v>
      </c>
      <c r="B110">
        <v>1</v>
      </c>
      <c r="C110">
        <v>3.5</v>
      </c>
    </row>
    <row r="111" spans="1:3" ht="13.5" thickBot="1" x14ac:dyDescent="0.25">
      <c r="A111" s="18" t="s">
        <v>121</v>
      </c>
      <c r="B111">
        <v>-0.5</v>
      </c>
      <c r="C111">
        <v>0.5</v>
      </c>
    </row>
    <row r="112" spans="1:3" ht="13.5" thickBot="1" x14ac:dyDescent="0.25">
      <c r="A112" s="18" t="s">
        <v>122</v>
      </c>
      <c r="B112">
        <v>0</v>
      </c>
      <c r="C112">
        <v>2.5</v>
      </c>
    </row>
    <row r="113" spans="1:3" ht="13.5" thickBot="1" x14ac:dyDescent="0.25">
      <c r="A113" s="18" t="s">
        <v>123</v>
      </c>
      <c r="B113">
        <v>0</v>
      </c>
      <c r="C113">
        <v>0</v>
      </c>
    </row>
    <row r="114" spans="1:3" ht="13.5" thickBot="1" x14ac:dyDescent="0.25">
      <c r="A114" s="18" t="s">
        <v>124</v>
      </c>
      <c r="B114">
        <v>0.5</v>
      </c>
      <c r="C114">
        <v>1</v>
      </c>
    </row>
    <row r="115" spans="1:3" ht="13.5" thickBot="1" x14ac:dyDescent="0.25">
      <c r="A115" s="18" t="s">
        <v>125</v>
      </c>
      <c r="B115">
        <v>-0.5</v>
      </c>
      <c r="C115">
        <v>-2.5</v>
      </c>
    </row>
    <row r="116" spans="1:3" ht="13.5" thickBot="1" x14ac:dyDescent="0.25">
      <c r="A116" s="18" t="s">
        <v>126</v>
      </c>
      <c r="B116">
        <v>1</v>
      </c>
      <c r="C116">
        <v>3</v>
      </c>
    </row>
    <row r="117" spans="1:3" ht="13.5" thickBot="1" x14ac:dyDescent="0.25">
      <c r="A117" s="18" t="s">
        <v>127</v>
      </c>
      <c r="B117">
        <v>0.5</v>
      </c>
      <c r="C117">
        <v>2.5</v>
      </c>
    </row>
    <row r="118" spans="1:3" ht="13.5" thickBot="1" x14ac:dyDescent="0.25">
      <c r="A118" s="18" t="s">
        <v>128</v>
      </c>
      <c r="B118">
        <v>0</v>
      </c>
      <c r="C118">
        <v>0</v>
      </c>
    </row>
    <row r="119" spans="1:3" ht="13.5" thickBot="1" x14ac:dyDescent="0.25">
      <c r="A119" s="18" t="s">
        <v>129</v>
      </c>
      <c r="B119">
        <v>1</v>
      </c>
      <c r="C119">
        <v>0.5</v>
      </c>
    </row>
    <row r="120" spans="1:3" ht="13.5" thickBot="1" x14ac:dyDescent="0.25">
      <c r="A120" s="18" t="s">
        <v>130</v>
      </c>
      <c r="B120">
        <v>0</v>
      </c>
      <c r="C120">
        <v>5</v>
      </c>
    </row>
    <row r="121" spans="1:3" ht="13.5" thickBot="1" x14ac:dyDescent="0.25">
      <c r="A121" s="18" t="s">
        <v>131</v>
      </c>
      <c r="B121">
        <v>0.5</v>
      </c>
      <c r="C121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PRESS ME TO UPDATE">
              <controlPr defaultSize="0" print="0" autoFill="0" autoPict="0" macro="[0]!InsertData">
                <anchor moveWithCells="1" sizeWithCells="1">
                  <from>
                    <xdr:col>7</xdr:col>
                    <xdr:colOff>590550</xdr:colOff>
                    <xdr:row>10</xdr:row>
                    <xdr:rowOff>28575</xdr:rowOff>
                  </from>
                  <to>
                    <xdr:col>14</xdr:col>
                    <xdr:colOff>457200</xdr:colOff>
                    <xdr:row>21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K161"/>
  <sheetViews>
    <sheetView workbookViewId="0">
      <selection activeCell="AX10" sqref="AX10"/>
    </sheetView>
  </sheetViews>
  <sheetFormatPr defaultRowHeight="12.75" x14ac:dyDescent="0.2"/>
  <cols>
    <col min="1" max="1" width="6.28515625" bestFit="1" customWidth="1"/>
    <col min="2" max="2" width="4.42578125" bestFit="1" customWidth="1"/>
    <col min="3" max="3" width="5.28515625" customWidth="1"/>
    <col min="4" max="4" width="6.42578125" bestFit="1" customWidth="1"/>
    <col min="5" max="16" width="5.28515625" customWidth="1"/>
    <col min="17" max="17" width="3.85546875" customWidth="1"/>
    <col min="18" max="18" width="4.5703125" bestFit="1" customWidth="1"/>
    <col min="19" max="19" width="5.28515625" customWidth="1"/>
    <col min="20" max="20" width="6.42578125" bestFit="1" customWidth="1"/>
    <col min="21" max="30" width="5.28515625" customWidth="1"/>
    <col min="31" max="31" width="6.42578125" bestFit="1" customWidth="1"/>
    <col min="32" max="41" width="5.28515625" customWidth="1"/>
    <col min="42" max="42" width="6.42578125" bestFit="1" customWidth="1"/>
    <col min="43" max="43" width="5.28515625" customWidth="1"/>
    <col min="44" max="51" width="9.140625" style="7" customWidth="1"/>
    <col min="52" max="63" width="9.140625" style="6" customWidth="1"/>
  </cols>
  <sheetData>
    <row r="1" spans="1:63" ht="26.25" thickBot="1" x14ac:dyDescent="0.4">
      <c r="A1" s="1"/>
      <c r="B1" s="1"/>
      <c r="C1" s="35" t="s">
        <v>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</row>
    <row r="2" spans="1:63" ht="13.5" thickBot="1" x14ac:dyDescent="0.25">
      <c r="A2" s="1"/>
      <c r="B2" s="2"/>
      <c r="C2" s="3">
        <v>-10</v>
      </c>
      <c r="D2" s="4">
        <v>-9.5</v>
      </c>
      <c r="E2" s="4">
        <v>-9</v>
      </c>
      <c r="F2" s="3">
        <v>-8.5</v>
      </c>
      <c r="G2" s="4">
        <v>-8</v>
      </c>
      <c r="H2" s="4">
        <v>-7.5</v>
      </c>
      <c r="I2" s="3">
        <v>-7</v>
      </c>
      <c r="J2" s="4">
        <v>-6.5</v>
      </c>
      <c r="K2" s="4">
        <v>-6</v>
      </c>
      <c r="L2" s="3">
        <v>-5.5</v>
      </c>
      <c r="M2" s="4">
        <v>-5</v>
      </c>
      <c r="N2" s="4">
        <v>-4.5</v>
      </c>
      <c r="O2" s="3">
        <v>-4</v>
      </c>
      <c r="P2" s="4">
        <v>-3.5</v>
      </c>
      <c r="Q2" s="4">
        <v>-3</v>
      </c>
      <c r="R2" s="3">
        <v>-2.5</v>
      </c>
      <c r="S2" s="4">
        <v>-2</v>
      </c>
      <c r="T2" s="4">
        <v>-1.5</v>
      </c>
      <c r="U2" s="3">
        <v>-1</v>
      </c>
      <c r="V2" s="4">
        <v>-0.5</v>
      </c>
      <c r="W2" s="4">
        <v>0</v>
      </c>
      <c r="X2" s="3">
        <v>0.5</v>
      </c>
      <c r="Y2" s="4">
        <v>1</v>
      </c>
      <c r="Z2" s="4">
        <v>1.5</v>
      </c>
      <c r="AA2" s="3">
        <v>2</v>
      </c>
      <c r="AB2" s="4">
        <v>2.5</v>
      </c>
      <c r="AC2" s="4">
        <v>3</v>
      </c>
      <c r="AD2" s="3">
        <v>3.5</v>
      </c>
      <c r="AE2" s="4">
        <v>4</v>
      </c>
      <c r="AF2" s="4">
        <v>4.5</v>
      </c>
      <c r="AG2" s="3">
        <v>5</v>
      </c>
      <c r="AH2" s="4">
        <v>5.5</v>
      </c>
      <c r="AI2" s="4">
        <v>6</v>
      </c>
      <c r="AJ2" s="3">
        <v>6.5</v>
      </c>
      <c r="AK2" s="4">
        <v>7</v>
      </c>
      <c r="AL2" s="4">
        <v>7.5</v>
      </c>
      <c r="AM2" s="3">
        <v>8</v>
      </c>
      <c r="AN2" s="4">
        <v>8.5</v>
      </c>
      <c r="AO2" s="4">
        <v>9</v>
      </c>
      <c r="AP2" s="3">
        <v>9.5</v>
      </c>
      <c r="AQ2" s="4">
        <v>10</v>
      </c>
    </row>
    <row r="3" spans="1:63" x14ac:dyDescent="0.2">
      <c r="A3" s="38" t="s">
        <v>1</v>
      </c>
      <c r="B3" s="28">
        <v>10</v>
      </c>
      <c r="C3" s="19">
        <v>0</v>
      </c>
      <c r="D3" s="20">
        <v>0</v>
      </c>
      <c r="E3" s="20">
        <v>0</v>
      </c>
      <c r="F3" s="20">
        <v>0</v>
      </c>
      <c r="G3" s="20">
        <v>0</v>
      </c>
      <c r="H3" s="20">
        <v>0</v>
      </c>
      <c r="I3" s="20">
        <v>0</v>
      </c>
      <c r="J3" s="20">
        <v>0</v>
      </c>
      <c r="K3" s="20">
        <v>0</v>
      </c>
      <c r="L3" s="20">
        <v>0</v>
      </c>
      <c r="M3" s="20">
        <v>0</v>
      </c>
      <c r="N3" s="20">
        <v>0</v>
      </c>
      <c r="O3" s="20">
        <v>0</v>
      </c>
      <c r="P3" s="21">
        <v>0</v>
      </c>
      <c r="Q3" s="20">
        <v>0</v>
      </c>
      <c r="R3" s="21">
        <v>0</v>
      </c>
      <c r="S3" s="19">
        <v>0</v>
      </c>
      <c r="T3" s="20">
        <v>0</v>
      </c>
      <c r="U3" s="20">
        <v>0</v>
      </c>
      <c r="V3" s="20">
        <v>0</v>
      </c>
      <c r="W3" s="20">
        <v>0</v>
      </c>
      <c r="X3" s="20">
        <v>0</v>
      </c>
      <c r="Y3" s="20">
        <v>0</v>
      </c>
      <c r="Z3" s="20">
        <v>0</v>
      </c>
      <c r="AA3" s="20">
        <v>0</v>
      </c>
      <c r="AB3" s="20">
        <v>0</v>
      </c>
      <c r="AC3" s="21">
        <v>0</v>
      </c>
      <c r="AD3" s="19">
        <v>0</v>
      </c>
      <c r="AE3" s="20">
        <v>0</v>
      </c>
      <c r="AF3" s="20">
        <v>0</v>
      </c>
      <c r="AG3" s="20">
        <v>0</v>
      </c>
      <c r="AH3" s="20">
        <v>0</v>
      </c>
      <c r="AI3" s="20">
        <v>0</v>
      </c>
      <c r="AJ3" s="20">
        <v>0</v>
      </c>
      <c r="AK3" s="20">
        <v>0</v>
      </c>
      <c r="AL3" s="20">
        <v>0</v>
      </c>
      <c r="AM3" s="20">
        <v>0</v>
      </c>
      <c r="AN3" s="21">
        <v>0</v>
      </c>
      <c r="AO3" s="19">
        <v>0</v>
      </c>
      <c r="AP3" s="20">
        <v>0</v>
      </c>
      <c r="AQ3" s="20">
        <v>0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</row>
    <row r="4" spans="1:63" x14ac:dyDescent="0.2">
      <c r="A4" s="39"/>
      <c r="B4" s="29">
        <v>9.5</v>
      </c>
      <c r="C4" s="22">
        <v>0</v>
      </c>
      <c r="D4" s="23">
        <v>0</v>
      </c>
      <c r="E4" s="23">
        <v>0</v>
      </c>
      <c r="F4" s="23">
        <v>0</v>
      </c>
      <c r="G4" s="23">
        <v>0</v>
      </c>
      <c r="H4" s="23">
        <v>0</v>
      </c>
      <c r="I4" s="23">
        <v>0</v>
      </c>
      <c r="J4" s="23">
        <v>0</v>
      </c>
      <c r="K4" s="23">
        <v>0</v>
      </c>
      <c r="L4" s="23">
        <v>0</v>
      </c>
      <c r="M4" s="23">
        <v>0</v>
      </c>
      <c r="N4" s="23">
        <v>0</v>
      </c>
      <c r="O4" s="23">
        <v>0</v>
      </c>
      <c r="P4" s="24">
        <v>0</v>
      </c>
      <c r="Q4" s="23">
        <v>0</v>
      </c>
      <c r="R4" s="24">
        <v>0</v>
      </c>
      <c r="S4" s="22">
        <v>0</v>
      </c>
      <c r="T4" s="23">
        <v>0</v>
      </c>
      <c r="U4" s="23">
        <v>0</v>
      </c>
      <c r="V4" s="23">
        <v>0</v>
      </c>
      <c r="W4" s="23">
        <v>0</v>
      </c>
      <c r="X4" s="23">
        <v>0</v>
      </c>
      <c r="Y4" s="23">
        <v>0</v>
      </c>
      <c r="Z4" s="23">
        <v>0</v>
      </c>
      <c r="AA4" s="23">
        <v>0</v>
      </c>
      <c r="AB4" s="23">
        <v>0</v>
      </c>
      <c r="AC4" s="24">
        <v>0</v>
      </c>
      <c r="AD4" s="22">
        <v>0</v>
      </c>
      <c r="AE4" s="23">
        <v>0</v>
      </c>
      <c r="AF4" s="23">
        <v>0</v>
      </c>
      <c r="AG4" s="23">
        <v>0</v>
      </c>
      <c r="AH4" s="23">
        <v>0</v>
      </c>
      <c r="AI4" s="23">
        <v>0</v>
      </c>
      <c r="AJ4" s="23">
        <v>0</v>
      </c>
      <c r="AK4" s="23">
        <v>0</v>
      </c>
      <c r="AL4" s="23">
        <v>0</v>
      </c>
      <c r="AM4" s="23">
        <v>0</v>
      </c>
      <c r="AN4" s="24">
        <v>0</v>
      </c>
      <c r="AO4" s="22">
        <v>0</v>
      </c>
      <c r="AP4" s="23">
        <v>0</v>
      </c>
      <c r="AQ4" s="23">
        <v>0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</row>
    <row r="5" spans="1:63" ht="13.5" thickBot="1" x14ac:dyDescent="0.25">
      <c r="A5" s="39"/>
      <c r="B5" s="29">
        <v>9</v>
      </c>
      <c r="C5" s="22">
        <v>0</v>
      </c>
      <c r="D5" s="23">
        <v>0</v>
      </c>
      <c r="E5" s="23">
        <v>0</v>
      </c>
      <c r="F5" s="23">
        <v>0</v>
      </c>
      <c r="G5" s="23">
        <v>0</v>
      </c>
      <c r="H5" s="23">
        <v>0</v>
      </c>
      <c r="I5" s="23">
        <v>0</v>
      </c>
      <c r="J5" s="23">
        <v>0</v>
      </c>
      <c r="K5" s="23">
        <v>0</v>
      </c>
      <c r="L5" s="23">
        <v>0</v>
      </c>
      <c r="M5" s="23">
        <v>0</v>
      </c>
      <c r="N5" s="23">
        <v>0</v>
      </c>
      <c r="O5" s="23">
        <v>0</v>
      </c>
      <c r="P5" s="24">
        <v>0</v>
      </c>
      <c r="Q5" s="23">
        <v>0</v>
      </c>
      <c r="R5" s="24">
        <v>0</v>
      </c>
      <c r="S5" s="22">
        <v>0</v>
      </c>
      <c r="T5" s="23">
        <v>0</v>
      </c>
      <c r="U5" s="23">
        <v>0</v>
      </c>
      <c r="V5" s="23">
        <v>0</v>
      </c>
      <c r="W5" s="23">
        <v>0</v>
      </c>
      <c r="X5" s="23">
        <v>0</v>
      </c>
      <c r="Y5" s="23">
        <v>0</v>
      </c>
      <c r="Z5" s="23">
        <v>0</v>
      </c>
      <c r="AA5" s="23">
        <v>0</v>
      </c>
      <c r="AB5" s="23">
        <v>0</v>
      </c>
      <c r="AC5" s="24">
        <v>0</v>
      </c>
      <c r="AD5" s="22">
        <v>0</v>
      </c>
      <c r="AE5" s="23">
        <v>0</v>
      </c>
      <c r="AF5" s="23">
        <v>0</v>
      </c>
      <c r="AG5" s="23">
        <v>0</v>
      </c>
      <c r="AH5" s="23">
        <v>0</v>
      </c>
      <c r="AI5" s="23">
        <v>0</v>
      </c>
      <c r="AJ5" s="23">
        <v>0</v>
      </c>
      <c r="AK5" s="23">
        <v>0</v>
      </c>
      <c r="AL5" s="23">
        <v>0</v>
      </c>
      <c r="AM5" s="23">
        <v>0</v>
      </c>
      <c r="AN5" s="24">
        <v>0</v>
      </c>
      <c r="AO5" s="22">
        <v>0</v>
      </c>
      <c r="AP5" s="23">
        <v>0</v>
      </c>
      <c r="AQ5" s="23">
        <v>0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</row>
    <row r="6" spans="1:63" x14ac:dyDescent="0.2">
      <c r="A6" s="39"/>
      <c r="B6" s="28">
        <v>8.5</v>
      </c>
      <c r="C6" s="22">
        <v>0</v>
      </c>
      <c r="D6" s="23">
        <v>0</v>
      </c>
      <c r="E6" s="23">
        <v>0</v>
      </c>
      <c r="F6" s="23">
        <v>0</v>
      </c>
      <c r="G6" s="23">
        <v>0</v>
      </c>
      <c r="H6" s="23">
        <v>0</v>
      </c>
      <c r="I6" s="23">
        <v>0</v>
      </c>
      <c r="J6" s="23">
        <v>0</v>
      </c>
      <c r="K6" s="23">
        <v>0</v>
      </c>
      <c r="L6" s="23">
        <v>0</v>
      </c>
      <c r="M6" s="23">
        <v>0</v>
      </c>
      <c r="N6" s="23">
        <v>0</v>
      </c>
      <c r="O6" s="23">
        <v>0</v>
      </c>
      <c r="P6" s="24">
        <v>0</v>
      </c>
      <c r="Q6" s="23">
        <v>0</v>
      </c>
      <c r="R6" s="24">
        <v>0</v>
      </c>
      <c r="S6" s="22">
        <v>0</v>
      </c>
      <c r="T6" s="23">
        <v>0</v>
      </c>
      <c r="U6" s="23">
        <v>0</v>
      </c>
      <c r="V6" s="23">
        <v>0</v>
      </c>
      <c r="W6" s="23">
        <v>0</v>
      </c>
      <c r="X6" s="23">
        <v>0</v>
      </c>
      <c r="Y6" s="23">
        <v>0</v>
      </c>
      <c r="Z6" s="23">
        <v>0</v>
      </c>
      <c r="AA6" s="23">
        <v>0</v>
      </c>
      <c r="AB6" s="23">
        <v>0</v>
      </c>
      <c r="AC6" s="24">
        <v>0</v>
      </c>
      <c r="AD6" s="22">
        <v>0</v>
      </c>
      <c r="AE6" s="23">
        <v>0</v>
      </c>
      <c r="AF6" s="23">
        <v>0</v>
      </c>
      <c r="AG6" s="23">
        <v>0</v>
      </c>
      <c r="AH6" s="23">
        <v>0</v>
      </c>
      <c r="AI6" s="23">
        <v>0</v>
      </c>
      <c r="AJ6" s="23">
        <v>0</v>
      </c>
      <c r="AK6" s="23">
        <v>0</v>
      </c>
      <c r="AL6" s="23">
        <v>0</v>
      </c>
      <c r="AM6" s="23">
        <v>0</v>
      </c>
      <c r="AN6" s="24">
        <v>0</v>
      </c>
      <c r="AO6" s="22">
        <v>0</v>
      </c>
      <c r="AP6" s="23">
        <v>0</v>
      </c>
      <c r="AQ6" s="23">
        <v>0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</row>
    <row r="7" spans="1:63" x14ac:dyDescent="0.2">
      <c r="A7" s="39"/>
      <c r="B7" s="29">
        <v>8</v>
      </c>
      <c r="C7" s="22">
        <v>0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23">
        <v>0</v>
      </c>
      <c r="K7" s="23">
        <v>0</v>
      </c>
      <c r="L7" s="23">
        <v>0</v>
      </c>
      <c r="M7" s="23">
        <v>0</v>
      </c>
      <c r="N7" s="23">
        <v>0</v>
      </c>
      <c r="O7" s="23">
        <v>0</v>
      </c>
      <c r="P7" s="24">
        <v>0</v>
      </c>
      <c r="Q7" s="23">
        <v>0</v>
      </c>
      <c r="R7" s="24">
        <v>0</v>
      </c>
      <c r="S7" s="22">
        <v>0</v>
      </c>
      <c r="T7" s="23">
        <v>0</v>
      </c>
      <c r="U7" s="23">
        <v>0</v>
      </c>
      <c r="V7" s="23">
        <v>0</v>
      </c>
      <c r="W7" s="23">
        <v>0</v>
      </c>
      <c r="X7" s="23">
        <v>0</v>
      </c>
      <c r="Y7" s="23">
        <v>0</v>
      </c>
      <c r="Z7" s="23">
        <v>0</v>
      </c>
      <c r="AA7" s="23">
        <v>0</v>
      </c>
      <c r="AB7" s="23">
        <v>0</v>
      </c>
      <c r="AC7" s="24">
        <v>0</v>
      </c>
      <c r="AD7" s="22">
        <v>0</v>
      </c>
      <c r="AE7" s="23">
        <v>0</v>
      </c>
      <c r="AF7" s="23">
        <v>0</v>
      </c>
      <c r="AG7" s="23">
        <v>0</v>
      </c>
      <c r="AH7" s="23">
        <v>0</v>
      </c>
      <c r="AI7" s="23">
        <v>0</v>
      </c>
      <c r="AJ7" s="23">
        <v>0</v>
      </c>
      <c r="AK7" s="23">
        <v>0</v>
      </c>
      <c r="AL7" s="23">
        <v>0</v>
      </c>
      <c r="AM7" s="23">
        <v>0</v>
      </c>
      <c r="AN7" s="24">
        <v>0</v>
      </c>
      <c r="AO7" s="22">
        <v>0</v>
      </c>
      <c r="AP7" s="23">
        <v>0</v>
      </c>
      <c r="AQ7" s="23">
        <v>0</v>
      </c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</row>
    <row r="8" spans="1:63" ht="13.5" thickBot="1" x14ac:dyDescent="0.25">
      <c r="A8" s="39"/>
      <c r="B8" s="29">
        <v>7.5</v>
      </c>
      <c r="C8" s="22">
        <v>0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23">
        <v>0</v>
      </c>
      <c r="K8" s="23">
        <v>0</v>
      </c>
      <c r="L8" s="23">
        <v>0</v>
      </c>
      <c r="M8" s="23">
        <v>0</v>
      </c>
      <c r="N8" s="23">
        <v>0</v>
      </c>
      <c r="O8" s="23">
        <v>0</v>
      </c>
      <c r="P8" s="24">
        <v>0</v>
      </c>
      <c r="Q8" s="23">
        <v>0</v>
      </c>
      <c r="R8" s="24">
        <v>0</v>
      </c>
      <c r="S8" s="22">
        <v>0</v>
      </c>
      <c r="T8" s="23">
        <v>0</v>
      </c>
      <c r="U8" s="23">
        <v>0</v>
      </c>
      <c r="V8" s="23">
        <v>0</v>
      </c>
      <c r="W8" s="23">
        <v>0</v>
      </c>
      <c r="X8" s="23">
        <v>0</v>
      </c>
      <c r="Y8" s="23">
        <v>0</v>
      </c>
      <c r="Z8" s="23">
        <v>0</v>
      </c>
      <c r="AA8" s="23">
        <v>0</v>
      </c>
      <c r="AB8" s="23">
        <v>0</v>
      </c>
      <c r="AC8" s="24">
        <v>0</v>
      </c>
      <c r="AD8" s="22">
        <v>0</v>
      </c>
      <c r="AE8" s="23">
        <v>0</v>
      </c>
      <c r="AF8" s="23">
        <v>0</v>
      </c>
      <c r="AG8" s="23">
        <v>0</v>
      </c>
      <c r="AH8" s="23">
        <v>0</v>
      </c>
      <c r="AI8" s="23">
        <v>0</v>
      </c>
      <c r="AJ8" s="23">
        <v>0</v>
      </c>
      <c r="AK8" s="23">
        <v>0</v>
      </c>
      <c r="AL8" s="23">
        <v>0</v>
      </c>
      <c r="AM8" s="23">
        <v>0</v>
      </c>
      <c r="AN8" s="24">
        <v>0</v>
      </c>
      <c r="AO8" s="22">
        <v>0</v>
      </c>
      <c r="AP8" s="23">
        <v>0</v>
      </c>
      <c r="AQ8" s="23">
        <v>0</v>
      </c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</row>
    <row r="9" spans="1:63" x14ac:dyDescent="0.2">
      <c r="A9" s="39"/>
      <c r="B9" s="28">
        <v>7</v>
      </c>
      <c r="C9" s="22">
        <v>0</v>
      </c>
      <c r="D9" s="23">
        <v>0</v>
      </c>
      <c r="E9" s="23">
        <v>0</v>
      </c>
      <c r="F9" s="23">
        <v>0</v>
      </c>
      <c r="G9" s="23">
        <v>0</v>
      </c>
      <c r="H9" s="23">
        <v>0</v>
      </c>
      <c r="I9" s="23">
        <v>0</v>
      </c>
      <c r="J9" s="23">
        <v>0</v>
      </c>
      <c r="K9" s="23">
        <v>0</v>
      </c>
      <c r="L9" s="23">
        <v>0</v>
      </c>
      <c r="M9" s="23">
        <v>0</v>
      </c>
      <c r="N9" s="23">
        <v>0</v>
      </c>
      <c r="O9" s="23">
        <v>0</v>
      </c>
      <c r="P9" s="24">
        <v>0</v>
      </c>
      <c r="Q9" s="23">
        <v>0</v>
      </c>
      <c r="R9" s="24">
        <v>0</v>
      </c>
      <c r="S9" s="22">
        <v>0</v>
      </c>
      <c r="T9" s="23">
        <v>0</v>
      </c>
      <c r="U9" s="23">
        <v>0</v>
      </c>
      <c r="V9" s="23">
        <v>0</v>
      </c>
      <c r="W9" s="23">
        <v>0</v>
      </c>
      <c r="X9" s="23">
        <v>0</v>
      </c>
      <c r="Y9" s="23">
        <v>0</v>
      </c>
      <c r="Z9" s="23">
        <v>0</v>
      </c>
      <c r="AA9" s="23">
        <v>0</v>
      </c>
      <c r="AB9" s="23">
        <v>0</v>
      </c>
      <c r="AC9" s="24">
        <v>0</v>
      </c>
      <c r="AD9" s="22">
        <v>0</v>
      </c>
      <c r="AE9" s="23">
        <v>0</v>
      </c>
      <c r="AF9" s="23">
        <v>0</v>
      </c>
      <c r="AG9" s="23">
        <v>0</v>
      </c>
      <c r="AH9" s="23">
        <v>0</v>
      </c>
      <c r="AI9" s="23">
        <v>0</v>
      </c>
      <c r="AJ9" s="23">
        <v>0</v>
      </c>
      <c r="AK9" s="23">
        <v>0</v>
      </c>
      <c r="AL9" s="23">
        <v>0</v>
      </c>
      <c r="AM9" s="23">
        <v>0</v>
      </c>
      <c r="AN9" s="24">
        <v>0</v>
      </c>
      <c r="AO9" s="22">
        <v>0</v>
      </c>
      <c r="AP9" s="23">
        <v>0</v>
      </c>
      <c r="AQ9" s="23">
        <v>0</v>
      </c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</row>
    <row r="10" spans="1:63" x14ac:dyDescent="0.2">
      <c r="A10" s="39"/>
      <c r="B10" s="29">
        <v>6.5</v>
      </c>
      <c r="C10" s="22">
        <v>0</v>
      </c>
      <c r="D10" s="23">
        <v>0</v>
      </c>
      <c r="E10" s="23">
        <v>0</v>
      </c>
      <c r="F10" s="23">
        <v>0</v>
      </c>
      <c r="G10" s="23">
        <v>0</v>
      </c>
      <c r="H10" s="23">
        <v>0</v>
      </c>
      <c r="I10" s="23">
        <v>0</v>
      </c>
      <c r="J10" s="23">
        <v>0</v>
      </c>
      <c r="K10" s="23">
        <v>0</v>
      </c>
      <c r="L10" s="23">
        <v>0</v>
      </c>
      <c r="M10" s="23">
        <v>0</v>
      </c>
      <c r="N10" s="23">
        <v>0</v>
      </c>
      <c r="O10" s="23">
        <v>0</v>
      </c>
      <c r="P10" s="24">
        <v>0</v>
      </c>
      <c r="Q10" s="23">
        <v>0</v>
      </c>
      <c r="R10" s="24">
        <v>0</v>
      </c>
      <c r="S10" s="22">
        <v>0</v>
      </c>
      <c r="T10" s="23">
        <v>0</v>
      </c>
      <c r="U10" s="23">
        <v>0</v>
      </c>
      <c r="V10" s="23">
        <v>0</v>
      </c>
      <c r="W10" s="23">
        <v>0</v>
      </c>
      <c r="X10" s="23">
        <v>0</v>
      </c>
      <c r="Y10" s="23">
        <v>0</v>
      </c>
      <c r="Z10" s="23">
        <v>0</v>
      </c>
      <c r="AA10" s="23">
        <v>0</v>
      </c>
      <c r="AB10" s="23">
        <v>0</v>
      </c>
      <c r="AC10" s="24">
        <v>0</v>
      </c>
      <c r="AD10" s="22">
        <v>0</v>
      </c>
      <c r="AE10" s="23">
        <v>0</v>
      </c>
      <c r="AF10" s="23">
        <v>0</v>
      </c>
      <c r="AG10" s="23">
        <v>0</v>
      </c>
      <c r="AH10" s="23">
        <v>0</v>
      </c>
      <c r="AI10" s="23">
        <v>0</v>
      </c>
      <c r="AJ10" s="23">
        <v>0</v>
      </c>
      <c r="AK10" s="23">
        <v>0</v>
      </c>
      <c r="AL10" s="23">
        <v>0</v>
      </c>
      <c r="AM10" s="23">
        <v>0</v>
      </c>
      <c r="AN10" s="24">
        <v>0</v>
      </c>
      <c r="AO10" s="22">
        <v>0</v>
      </c>
      <c r="AP10" s="23">
        <v>0</v>
      </c>
      <c r="AQ10" s="23">
        <v>0</v>
      </c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</row>
    <row r="11" spans="1:63" ht="13.5" thickBot="1" x14ac:dyDescent="0.25">
      <c r="A11" s="39"/>
      <c r="B11" s="29">
        <v>6</v>
      </c>
      <c r="C11" s="22">
        <v>0</v>
      </c>
      <c r="D11" s="23">
        <v>0</v>
      </c>
      <c r="E11" s="23">
        <v>0</v>
      </c>
      <c r="F11" s="23">
        <v>0</v>
      </c>
      <c r="G11" s="23">
        <v>0</v>
      </c>
      <c r="H11" s="23">
        <v>0</v>
      </c>
      <c r="I11" s="23">
        <v>0</v>
      </c>
      <c r="J11" s="23">
        <v>0</v>
      </c>
      <c r="K11" s="23">
        <v>0</v>
      </c>
      <c r="L11" s="23">
        <v>0</v>
      </c>
      <c r="M11" s="23">
        <v>0</v>
      </c>
      <c r="N11" s="23">
        <v>0</v>
      </c>
      <c r="O11" s="23">
        <v>0</v>
      </c>
      <c r="P11" s="24">
        <v>0</v>
      </c>
      <c r="Q11" s="23">
        <v>0</v>
      </c>
      <c r="R11" s="24">
        <v>0</v>
      </c>
      <c r="S11" s="22">
        <v>0</v>
      </c>
      <c r="T11" s="23">
        <v>0</v>
      </c>
      <c r="U11" s="23">
        <v>0</v>
      </c>
      <c r="V11" s="23">
        <v>0</v>
      </c>
      <c r="W11" s="23">
        <v>0</v>
      </c>
      <c r="X11" s="23">
        <v>0</v>
      </c>
      <c r="Y11" s="23">
        <v>0</v>
      </c>
      <c r="Z11" s="23">
        <v>0</v>
      </c>
      <c r="AA11" s="23">
        <v>0</v>
      </c>
      <c r="AB11" s="23">
        <v>0</v>
      </c>
      <c r="AC11" s="24">
        <v>0</v>
      </c>
      <c r="AD11" s="22">
        <v>0</v>
      </c>
      <c r="AE11" s="23">
        <v>0</v>
      </c>
      <c r="AF11" s="23">
        <v>0</v>
      </c>
      <c r="AG11" s="23">
        <v>0</v>
      </c>
      <c r="AH11" s="23">
        <v>0</v>
      </c>
      <c r="AI11" s="23">
        <v>0</v>
      </c>
      <c r="AJ11" s="23">
        <v>0</v>
      </c>
      <c r="AK11" s="23">
        <v>0</v>
      </c>
      <c r="AL11" s="23">
        <v>0</v>
      </c>
      <c r="AM11" s="23">
        <v>0</v>
      </c>
      <c r="AN11" s="24">
        <v>0</v>
      </c>
      <c r="AO11" s="22">
        <v>0</v>
      </c>
      <c r="AP11" s="23">
        <v>0</v>
      </c>
      <c r="AQ11" s="23">
        <v>0</v>
      </c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</row>
    <row r="12" spans="1:63" x14ac:dyDescent="0.2">
      <c r="A12" s="39"/>
      <c r="B12" s="28">
        <v>5.5</v>
      </c>
      <c r="C12" s="22">
        <v>0</v>
      </c>
      <c r="D12" s="23">
        <v>0</v>
      </c>
      <c r="E12" s="23">
        <v>0</v>
      </c>
      <c r="F12" s="23">
        <v>0</v>
      </c>
      <c r="G12" s="23">
        <v>0</v>
      </c>
      <c r="H12" s="23">
        <v>0</v>
      </c>
      <c r="I12" s="23">
        <v>0</v>
      </c>
      <c r="J12" s="23">
        <v>0</v>
      </c>
      <c r="K12" s="23">
        <v>0</v>
      </c>
      <c r="L12" s="23">
        <v>0</v>
      </c>
      <c r="M12" s="23">
        <v>0</v>
      </c>
      <c r="N12" s="23">
        <v>0</v>
      </c>
      <c r="O12" s="23">
        <v>0</v>
      </c>
      <c r="P12" s="24">
        <v>0</v>
      </c>
      <c r="Q12" s="23">
        <v>0</v>
      </c>
      <c r="R12" s="24">
        <v>0</v>
      </c>
      <c r="S12" s="22">
        <v>0</v>
      </c>
      <c r="T12" s="23">
        <v>0</v>
      </c>
      <c r="U12" s="23">
        <v>0</v>
      </c>
      <c r="V12" s="23">
        <v>0</v>
      </c>
      <c r="W12" s="23">
        <v>0</v>
      </c>
      <c r="X12" s="23">
        <v>0</v>
      </c>
      <c r="Y12" s="23">
        <v>0</v>
      </c>
      <c r="Z12" s="23">
        <v>0</v>
      </c>
      <c r="AA12" s="23">
        <v>0</v>
      </c>
      <c r="AB12" s="23">
        <v>0</v>
      </c>
      <c r="AC12" s="24">
        <v>0</v>
      </c>
      <c r="AD12" s="22">
        <v>0</v>
      </c>
      <c r="AE12" s="23">
        <v>0</v>
      </c>
      <c r="AF12" s="23">
        <v>0</v>
      </c>
      <c r="AG12" s="23">
        <v>0</v>
      </c>
      <c r="AH12" s="23">
        <v>0</v>
      </c>
      <c r="AI12" s="23">
        <v>0</v>
      </c>
      <c r="AJ12" s="23">
        <v>0</v>
      </c>
      <c r="AK12" s="23">
        <v>0</v>
      </c>
      <c r="AL12" s="23">
        <v>0</v>
      </c>
      <c r="AM12" s="23">
        <v>0</v>
      </c>
      <c r="AN12" s="24">
        <v>0</v>
      </c>
      <c r="AO12" s="22">
        <v>0</v>
      </c>
      <c r="AP12" s="23">
        <v>0</v>
      </c>
      <c r="AQ12" s="23">
        <v>0</v>
      </c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</row>
    <row r="13" spans="1:63" ht="13.5" thickBot="1" x14ac:dyDescent="0.25">
      <c r="A13" s="39"/>
      <c r="B13" s="29">
        <v>5</v>
      </c>
      <c r="C13" s="25">
        <v>0</v>
      </c>
      <c r="D13" s="26">
        <v>0</v>
      </c>
      <c r="E13" s="26">
        <v>0</v>
      </c>
      <c r="F13" s="26">
        <v>0</v>
      </c>
      <c r="G13" s="26">
        <v>0</v>
      </c>
      <c r="H13" s="26">
        <v>0</v>
      </c>
      <c r="I13" s="26">
        <v>0</v>
      </c>
      <c r="J13" s="26">
        <v>0</v>
      </c>
      <c r="K13" s="26">
        <v>0</v>
      </c>
      <c r="L13" s="26">
        <v>0</v>
      </c>
      <c r="M13" s="26">
        <v>0</v>
      </c>
      <c r="N13" s="26">
        <v>0</v>
      </c>
      <c r="O13" s="26">
        <v>0</v>
      </c>
      <c r="P13" s="27">
        <v>0</v>
      </c>
      <c r="Q13" s="26">
        <v>0</v>
      </c>
      <c r="R13" s="27">
        <v>0</v>
      </c>
      <c r="S13" s="25">
        <v>0</v>
      </c>
      <c r="T13" s="26">
        <v>0</v>
      </c>
      <c r="U13" s="26">
        <v>0</v>
      </c>
      <c r="V13" s="26">
        <v>0</v>
      </c>
      <c r="W13" s="26">
        <v>0</v>
      </c>
      <c r="X13" s="26">
        <v>0</v>
      </c>
      <c r="Y13" s="26">
        <v>0</v>
      </c>
      <c r="Z13" s="26">
        <v>0</v>
      </c>
      <c r="AA13" s="26">
        <v>0</v>
      </c>
      <c r="AB13" s="26">
        <v>0</v>
      </c>
      <c r="AC13" s="27">
        <v>0</v>
      </c>
      <c r="AD13" s="25">
        <v>0</v>
      </c>
      <c r="AE13" s="26">
        <v>0</v>
      </c>
      <c r="AF13" s="26">
        <v>0</v>
      </c>
      <c r="AG13" s="26">
        <v>0</v>
      </c>
      <c r="AH13" s="26">
        <v>0</v>
      </c>
      <c r="AI13" s="26">
        <v>0</v>
      </c>
      <c r="AJ13" s="26">
        <v>0</v>
      </c>
      <c r="AK13" s="26">
        <v>0</v>
      </c>
      <c r="AL13" s="26">
        <v>0</v>
      </c>
      <c r="AM13" s="26">
        <v>0</v>
      </c>
      <c r="AN13" s="27">
        <v>0</v>
      </c>
      <c r="AO13" s="25">
        <v>0</v>
      </c>
      <c r="AP13" s="26">
        <v>0</v>
      </c>
      <c r="AQ13" s="26">
        <v>0</v>
      </c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</row>
    <row r="14" spans="1:63" ht="13.5" thickBot="1" x14ac:dyDescent="0.25">
      <c r="A14" s="40"/>
      <c r="B14" s="29">
        <v>4.5</v>
      </c>
      <c r="C14" s="19">
        <v>0</v>
      </c>
      <c r="D14" s="20">
        <v>0</v>
      </c>
      <c r="E14" s="20">
        <v>0</v>
      </c>
      <c r="F14" s="20">
        <v>0</v>
      </c>
      <c r="G14" s="20">
        <v>0</v>
      </c>
      <c r="H14" s="20">
        <v>0</v>
      </c>
      <c r="I14" s="20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1">
        <v>0</v>
      </c>
      <c r="Q14" s="20">
        <v>0</v>
      </c>
      <c r="R14" s="21">
        <v>0</v>
      </c>
      <c r="S14" s="19">
        <v>0</v>
      </c>
      <c r="T14" s="20">
        <v>0</v>
      </c>
      <c r="U14" s="20">
        <v>0</v>
      </c>
      <c r="V14" s="20">
        <v>0</v>
      </c>
      <c r="W14" s="20">
        <v>0</v>
      </c>
      <c r="X14" s="20">
        <v>0</v>
      </c>
      <c r="Y14" s="20">
        <v>0</v>
      </c>
      <c r="Z14" s="20">
        <v>0</v>
      </c>
      <c r="AA14" s="20">
        <v>0</v>
      </c>
      <c r="AB14" s="20">
        <v>0</v>
      </c>
      <c r="AC14" s="21">
        <v>0</v>
      </c>
      <c r="AD14" s="19">
        <v>0</v>
      </c>
      <c r="AE14" s="20">
        <v>0</v>
      </c>
      <c r="AF14" s="20">
        <v>0</v>
      </c>
      <c r="AG14" s="20">
        <v>0</v>
      </c>
      <c r="AH14" s="20">
        <v>0</v>
      </c>
      <c r="AI14" s="20">
        <v>0</v>
      </c>
      <c r="AJ14" s="20">
        <v>0</v>
      </c>
      <c r="AK14" s="20">
        <v>0</v>
      </c>
      <c r="AL14" s="20">
        <v>0</v>
      </c>
      <c r="AM14" s="20">
        <v>0</v>
      </c>
      <c r="AN14" s="21">
        <v>0</v>
      </c>
      <c r="AO14" s="19">
        <v>0</v>
      </c>
      <c r="AP14" s="20">
        <v>0</v>
      </c>
      <c r="AQ14" s="20">
        <v>0</v>
      </c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</row>
    <row r="15" spans="1:63" x14ac:dyDescent="0.2">
      <c r="A15" s="40"/>
      <c r="B15" s="28">
        <v>4</v>
      </c>
      <c r="C15" s="22">
        <v>0</v>
      </c>
      <c r="D15" s="23">
        <v>0</v>
      </c>
      <c r="E15" s="23">
        <v>0</v>
      </c>
      <c r="F15" s="23">
        <v>0</v>
      </c>
      <c r="G15" s="23">
        <v>0</v>
      </c>
      <c r="H15" s="23">
        <v>0</v>
      </c>
      <c r="I15" s="23">
        <v>0</v>
      </c>
      <c r="J15" s="23">
        <v>0</v>
      </c>
      <c r="K15" s="23">
        <v>0</v>
      </c>
      <c r="L15" s="23">
        <v>0</v>
      </c>
      <c r="M15" s="23">
        <v>0</v>
      </c>
      <c r="N15" s="23">
        <v>0</v>
      </c>
      <c r="O15" s="23">
        <v>0</v>
      </c>
      <c r="P15" s="24">
        <v>0</v>
      </c>
      <c r="Q15" s="23">
        <v>0</v>
      </c>
      <c r="R15" s="24">
        <v>0</v>
      </c>
      <c r="S15" s="22">
        <v>0</v>
      </c>
      <c r="T15" s="23">
        <v>0</v>
      </c>
      <c r="U15" s="23">
        <v>0</v>
      </c>
      <c r="V15" s="23">
        <v>0</v>
      </c>
      <c r="W15" s="23">
        <v>0</v>
      </c>
      <c r="X15" s="23">
        <v>0</v>
      </c>
      <c r="Y15" s="23">
        <v>0</v>
      </c>
      <c r="Z15" s="23">
        <v>0</v>
      </c>
      <c r="AA15" s="23">
        <v>0</v>
      </c>
      <c r="AB15" s="23">
        <v>0</v>
      </c>
      <c r="AC15" s="24">
        <v>0</v>
      </c>
      <c r="AD15" s="22">
        <v>0</v>
      </c>
      <c r="AE15" s="23">
        <v>0</v>
      </c>
      <c r="AF15" s="23">
        <v>0</v>
      </c>
      <c r="AG15" s="23">
        <v>0</v>
      </c>
      <c r="AH15" s="23">
        <v>0</v>
      </c>
      <c r="AI15" s="23">
        <v>0</v>
      </c>
      <c r="AJ15" s="23">
        <v>0</v>
      </c>
      <c r="AK15" s="23">
        <v>0</v>
      </c>
      <c r="AL15" s="23">
        <v>0</v>
      </c>
      <c r="AM15" s="23">
        <v>0</v>
      </c>
      <c r="AN15" s="24">
        <v>0</v>
      </c>
      <c r="AO15" s="22">
        <v>0</v>
      </c>
      <c r="AP15" s="23">
        <v>0</v>
      </c>
      <c r="AQ15" s="23">
        <v>0</v>
      </c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</row>
    <row r="16" spans="1:63" x14ac:dyDescent="0.2">
      <c r="A16" s="40"/>
      <c r="B16" s="29">
        <v>3.5</v>
      </c>
      <c r="C16" s="22">
        <v>0</v>
      </c>
      <c r="D16" s="23">
        <v>0</v>
      </c>
      <c r="E16" s="23">
        <v>0</v>
      </c>
      <c r="F16" s="23">
        <v>0</v>
      </c>
      <c r="G16" s="23">
        <v>0</v>
      </c>
      <c r="H16" s="23">
        <v>0</v>
      </c>
      <c r="I16" s="23">
        <v>0</v>
      </c>
      <c r="J16" s="23">
        <v>0</v>
      </c>
      <c r="K16" s="23">
        <v>0</v>
      </c>
      <c r="L16" s="23">
        <v>0</v>
      </c>
      <c r="M16" s="23">
        <v>0</v>
      </c>
      <c r="N16" s="23">
        <v>0</v>
      </c>
      <c r="O16" s="23">
        <v>0</v>
      </c>
      <c r="P16" s="24">
        <v>0</v>
      </c>
      <c r="Q16" s="23">
        <v>0</v>
      </c>
      <c r="R16" s="24">
        <v>0</v>
      </c>
      <c r="S16" s="22">
        <v>0</v>
      </c>
      <c r="T16" s="23">
        <v>0</v>
      </c>
      <c r="U16" s="23">
        <v>0</v>
      </c>
      <c r="V16" s="23">
        <v>0</v>
      </c>
      <c r="W16" s="23">
        <v>0</v>
      </c>
      <c r="X16" s="23">
        <v>0</v>
      </c>
      <c r="Y16" s="23">
        <v>0</v>
      </c>
      <c r="Z16" s="23">
        <v>0</v>
      </c>
      <c r="AA16" s="23">
        <v>0</v>
      </c>
      <c r="AB16" s="23">
        <v>0</v>
      </c>
      <c r="AC16" s="24">
        <v>0</v>
      </c>
      <c r="AD16" s="22">
        <v>0</v>
      </c>
      <c r="AE16" s="23">
        <v>0</v>
      </c>
      <c r="AF16" s="23">
        <v>0</v>
      </c>
      <c r="AG16" s="23">
        <v>0</v>
      </c>
      <c r="AH16" s="23">
        <v>0</v>
      </c>
      <c r="AI16" s="23">
        <v>0</v>
      </c>
      <c r="AJ16" s="23">
        <v>0</v>
      </c>
      <c r="AK16" s="23">
        <v>0</v>
      </c>
      <c r="AL16" s="23">
        <v>0</v>
      </c>
      <c r="AM16" s="23">
        <v>0</v>
      </c>
      <c r="AN16" s="24">
        <v>0</v>
      </c>
      <c r="AO16" s="22">
        <v>0</v>
      </c>
      <c r="AP16" s="23">
        <v>0</v>
      </c>
      <c r="AQ16" s="23">
        <v>0</v>
      </c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</row>
    <row r="17" spans="1:63" ht="13.5" thickBot="1" x14ac:dyDescent="0.25">
      <c r="A17" s="40"/>
      <c r="B17" s="29">
        <v>3</v>
      </c>
      <c r="C17" s="22">
        <v>0</v>
      </c>
      <c r="D17" s="23">
        <v>0</v>
      </c>
      <c r="E17" s="23">
        <v>0</v>
      </c>
      <c r="F17" s="23">
        <v>0</v>
      </c>
      <c r="G17" s="23">
        <v>0</v>
      </c>
      <c r="H17" s="23">
        <v>0</v>
      </c>
      <c r="I17" s="23">
        <v>0</v>
      </c>
      <c r="J17" s="23">
        <v>0</v>
      </c>
      <c r="K17" s="23">
        <v>0</v>
      </c>
      <c r="L17" s="23">
        <v>0</v>
      </c>
      <c r="M17" s="23">
        <v>0</v>
      </c>
      <c r="N17" s="23">
        <v>0</v>
      </c>
      <c r="O17" s="23">
        <v>0</v>
      </c>
      <c r="P17" s="24">
        <v>0</v>
      </c>
      <c r="Q17" s="23">
        <v>0</v>
      </c>
      <c r="R17" s="24">
        <v>0</v>
      </c>
      <c r="S17" s="22">
        <v>0</v>
      </c>
      <c r="T17" s="23">
        <v>0</v>
      </c>
      <c r="U17" s="23">
        <v>0</v>
      </c>
      <c r="V17" s="23">
        <v>0</v>
      </c>
      <c r="W17" s="23">
        <v>0</v>
      </c>
      <c r="X17" s="23">
        <v>0</v>
      </c>
      <c r="Y17" s="23">
        <v>0</v>
      </c>
      <c r="Z17" s="23">
        <v>0</v>
      </c>
      <c r="AA17" s="23">
        <v>0</v>
      </c>
      <c r="AB17" s="23">
        <v>0</v>
      </c>
      <c r="AC17" s="24">
        <v>0</v>
      </c>
      <c r="AD17" s="22">
        <v>0</v>
      </c>
      <c r="AE17" s="23">
        <v>0</v>
      </c>
      <c r="AF17" s="23">
        <v>0</v>
      </c>
      <c r="AG17" s="23">
        <v>0</v>
      </c>
      <c r="AH17" s="23">
        <v>0</v>
      </c>
      <c r="AI17" s="23">
        <v>0</v>
      </c>
      <c r="AJ17" s="23">
        <v>0</v>
      </c>
      <c r="AK17" s="23">
        <v>0</v>
      </c>
      <c r="AL17" s="23">
        <v>0</v>
      </c>
      <c r="AM17" s="23">
        <v>0</v>
      </c>
      <c r="AN17" s="24">
        <v>0</v>
      </c>
      <c r="AO17" s="22">
        <v>0</v>
      </c>
      <c r="AP17" s="23">
        <v>0</v>
      </c>
      <c r="AQ17" s="23">
        <v>0</v>
      </c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</row>
    <row r="18" spans="1:63" x14ac:dyDescent="0.2">
      <c r="A18" s="40"/>
      <c r="B18" s="28">
        <v>2.5</v>
      </c>
      <c r="C18" s="22">
        <v>0</v>
      </c>
      <c r="D18" s="23">
        <v>0</v>
      </c>
      <c r="E18" s="23">
        <v>0</v>
      </c>
      <c r="F18" s="23">
        <v>0</v>
      </c>
      <c r="G18" s="23">
        <v>0</v>
      </c>
      <c r="H18" s="23">
        <v>0</v>
      </c>
      <c r="I18" s="23">
        <v>0</v>
      </c>
      <c r="J18" s="23">
        <v>0</v>
      </c>
      <c r="K18" s="23">
        <v>0</v>
      </c>
      <c r="L18" s="23">
        <v>0</v>
      </c>
      <c r="M18" s="23">
        <v>0</v>
      </c>
      <c r="N18" s="23">
        <v>0</v>
      </c>
      <c r="O18" s="23">
        <v>0</v>
      </c>
      <c r="P18" s="24">
        <v>0</v>
      </c>
      <c r="Q18" s="23">
        <v>0</v>
      </c>
      <c r="R18" s="24">
        <v>0</v>
      </c>
      <c r="S18" s="22">
        <v>0</v>
      </c>
      <c r="T18" s="23">
        <v>0</v>
      </c>
      <c r="U18" s="23">
        <v>0</v>
      </c>
      <c r="V18" s="23">
        <v>0</v>
      </c>
      <c r="W18" s="23">
        <v>0</v>
      </c>
      <c r="X18" s="23">
        <v>0</v>
      </c>
      <c r="Y18" s="23">
        <v>0</v>
      </c>
      <c r="Z18" s="23">
        <v>0</v>
      </c>
      <c r="AA18" s="23">
        <v>0</v>
      </c>
      <c r="AB18" s="23">
        <v>0</v>
      </c>
      <c r="AC18" s="24">
        <v>0</v>
      </c>
      <c r="AD18" s="22">
        <v>0</v>
      </c>
      <c r="AE18" s="23">
        <v>0</v>
      </c>
      <c r="AF18" s="23">
        <v>0</v>
      </c>
      <c r="AG18" s="23">
        <v>0</v>
      </c>
      <c r="AH18" s="23">
        <v>0</v>
      </c>
      <c r="AI18" s="23">
        <v>0</v>
      </c>
      <c r="AJ18" s="23">
        <v>0</v>
      </c>
      <c r="AK18" s="23">
        <v>0</v>
      </c>
      <c r="AL18" s="23">
        <v>0</v>
      </c>
      <c r="AM18" s="23">
        <v>0</v>
      </c>
      <c r="AN18" s="24">
        <v>0</v>
      </c>
      <c r="AO18" s="22">
        <v>0</v>
      </c>
      <c r="AP18" s="23">
        <v>0</v>
      </c>
      <c r="AQ18" s="23">
        <v>0</v>
      </c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</row>
    <row r="19" spans="1:63" x14ac:dyDescent="0.2">
      <c r="A19" s="40"/>
      <c r="B19" s="29">
        <v>2</v>
      </c>
      <c r="C19" s="22">
        <v>0</v>
      </c>
      <c r="D19" s="23">
        <v>0</v>
      </c>
      <c r="E19" s="23">
        <v>0</v>
      </c>
      <c r="F19" s="23">
        <v>0</v>
      </c>
      <c r="G19" s="23">
        <v>0</v>
      </c>
      <c r="H19" s="23">
        <v>0</v>
      </c>
      <c r="I19" s="23">
        <v>0</v>
      </c>
      <c r="J19" s="23">
        <v>0</v>
      </c>
      <c r="K19" s="23">
        <v>0</v>
      </c>
      <c r="L19" s="23">
        <v>0</v>
      </c>
      <c r="M19" s="23">
        <v>0</v>
      </c>
      <c r="N19" s="23">
        <v>0</v>
      </c>
      <c r="O19" s="23">
        <v>0</v>
      </c>
      <c r="P19" s="24">
        <v>0</v>
      </c>
      <c r="Q19" s="23">
        <v>0</v>
      </c>
      <c r="R19" s="24">
        <v>0</v>
      </c>
      <c r="S19" s="22">
        <v>0</v>
      </c>
      <c r="T19" s="23">
        <v>0</v>
      </c>
      <c r="U19" s="23">
        <v>0</v>
      </c>
      <c r="V19" s="23">
        <v>0</v>
      </c>
      <c r="W19" s="23">
        <v>0</v>
      </c>
      <c r="X19" s="23">
        <v>1</v>
      </c>
      <c r="Y19" s="23">
        <v>0</v>
      </c>
      <c r="Z19" s="23">
        <v>0</v>
      </c>
      <c r="AA19" s="23">
        <v>0</v>
      </c>
      <c r="AB19" s="23">
        <v>0</v>
      </c>
      <c r="AC19" s="24">
        <v>1</v>
      </c>
      <c r="AD19" s="22">
        <v>0</v>
      </c>
      <c r="AE19" s="23">
        <v>0</v>
      </c>
      <c r="AF19" s="23">
        <v>0</v>
      </c>
      <c r="AG19" s="23">
        <v>0</v>
      </c>
      <c r="AH19" s="23">
        <v>0</v>
      </c>
      <c r="AI19" s="23">
        <v>0</v>
      </c>
      <c r="AJ19" s="23">
        <v>0</v>
      </c>
      <c r="AK19" s="23">
        <v>0</v>
      </c>
      <c r="AL19" s="23">
        <v>0</v>
      </c>
      <c r="AM19" s="23">
        <v>0</v>
      </c>
      <c r="AN19" s="24">
        <v>0</v>
      </c>
      <c r="AO19" s="22">
        <v>0</v>
      </c>
      <c r="AP19" s="23">
        <v>0</v>
      </c>
      <c r="AQ19" s="23">
        <v>0</v>
      </c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</row>
    <row r="20" spans="1:63" ht="13.5" thickBot="1" x14ac:dyDescent="0.25">
      <c r="A20" s="40"/>
      <c r="B20" s="29">
        <v>1.5</v>
      </c>
      <c r="C20" s="22">
        <v>0</v>
      </c>
      <c r="D20" s="23">
        <v>0</v>
      </c>
      <c r="E20" s="23">
        <v>0</v>
      </c>
      <c r="F20" s="23">
        <v>0</v>
      </c>
      <c r="G20" s="23">
        <v>0</v>
      </c>
      <c r="H20" s="23">
        <v>0</v>
      </c>
      <c r="I20" s="23">
        <v>0</v>
      </c>
      <c r="J20" s="23">
        <v>0</v>
      </c>
      <c r="K20" s="23">
        <v>0</v>
      </c>
      <c r="L20" s="23">
        <v>0</v>
      </c>
      <c r="M20" s="23">
        <v>0</v>
      </c>
      <c r="N20" s="23">
        <v>0</v>
      </c>
      <c r="O20" s="23">
        <v>0</v>
      </c>
      <c r="P20" s="24">
        <v>0</v>
      </c>
      <c r="Q20" s="23">
        <v>0</v>
      </c>
      <c r="R20" s="24">
        <v>1</v>
      </c>
      <c r="S20" s="22">
        <v>1</v>
      </c>
      <c r="T20" s="23">
        <v>0</v>
      </c>
      <c r="U20" s="23">
        <v>0</v>
      </c>
      <c r="V20" s="23">
        <v>1</v>
      </c>
      <c r="W20" s="23">
        <v>0</v>
      </c>
      <c r="X20" s="23">
        <v>0</v>
      </c>
      <c r="Y20" s="23">
        <v>0</v>
      </c>
      <c r="Z20" s="23">
        <v>0</v>
      </c>
      <c r="AA20" s="23">
        <v>0</v>
      </c>
      <c r="AB20" s="23">
        <v>0</v>
      </c>
      <c r="AC20" s="24">
        <v>0</v>
      </c>
      <c r="AD20" s="22">
        <v>0</v>
      </c>
      <c r="AE20" s="23">
        <v>0</v>
      </c>
      <c r="AF20" s="23">
        <v>0</v>
      </c>
      <c r="AG20" s="23">
        <v>0</v>
      </c>
      <c r="AH20" s="23">
        <v>0</v>
      </c>
      <c r="AI20" s="23">
        <v>0</v>
      </c>
      <c r="AJ20" s="23">
        <v>1</v>
      </c>
      <c r="AK20" s="23">
        <v>0</v>
      </c>
      <c r="AL20" s="23">
        <v>0</v>
      </c>
      <c r="AM20" s="23">
        <v>0</v>
      </c>
      <c r="AN20" s="24">
        <v>0</v>
      </c>
      <c r="AO20" s="22">
        <v>0</v>
      </c>
      <c r="AP20" s="23">
        <v>0</v>
      </c>
      <c r="AQ20" s="23">
        <v>0</v>
      </c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</row>
    <row r="21" spans="1:63" x14ac:dyDescent="0.2">
      <c r="A21" s="40"/>
      <c r="B21" s="28">
        <v>1</v>
      </c>
      <c r="C21" s="22">
        <v>0</v>
      </c>
      <c r="D21" s="23">
        <v>0</v>
      </c>
      <c r="E21" s="23">
        <v>0</v>
      </c>
      <c r="F21" s="23">
        <v>0</v>
      </c>
      <c r="G21" s="23">
        <v>0</v>
      </c>
      <c r="H21" s="23">
        <v>0</v>
      </c>
      <c r="I21" s="23">
        <v>0</v>
      </c>
      <c r="J21" s="23">
        <v>0</v>
      </c>
      <c r="K21" s="23">
        <v>1</v>
      </c>
      <c r="L21" s="23">
        <v>0</v>
      </c>
      <c r="M21" s="23">
        <v>1</v>
      </c>
      <c r="N21" s="23">
        <v>0</v>
      </c>
      <c r="O21" s="23">
        <v>1</v>
      </c>
      <c r="P21" s="24">
        <v>1</v>
      </c>
      <c r="Q21" s="23">
        <v>2</v>
      </c>
      <c r="R21" s="24">
        <v>0</v>
      </c>
      <c r="S21" s="22">
        <v>1</v>
      </c>
      <c r="T21" s="23">
        <v>0</v>
      </c>
      <c r="U21" s="23">
        <v>2</v>
      </c>
      <c r="V21" s="23">
        <v>0</v>
      </c>
      <c r="W21" s="23">
        <v>2</v>
      </c>
      <c r="X21" s="23">
        <v>2</v>
      </c>
      <c r="Y21" s="23">
        <v>0</v>
      </c>
      <c r="Z21" s="23">
        <v>1</v>
      </c>
      <c r="AA21" s="23">
        <v>0</v>
      </c>
      <c r="AB21" s="23">
        <v>0</v>
      </c>
      <c r="AC21" s="24">
        <v>2</v>
      </c>
      <c r="AD21" s="22">
        <v>1</v>
      </c>
      <c r="AE21" s="23">
        <v>1</v>
      </c>
      <c r="AF21" s="23">
        <v>0</v>
      </c>
      <c r="AG21" s="23">
        <v>0</v>
      </c>
      <c r="AH21" s="23">
        <v>0</v>
      </c>
      <c r="AI21" s="23">
        <v>2</v>
      </c>
      <c r="AJ21" s="23">
        <v>0</v>
      </c>
      <c r="AK21" s="23">
        <v>0</v>
      </c>
      <c r="AL21" s="23">
        <v>0</v>
      </c>
      <c r="AM21" s="23">
        <v>0</v>
      </c>
      <c r="AN21" s="24">
        <v>0</v>
      </c>
      <c r="AO21" s="22">
        <v>0</v>
      </c>
      <c r="AP21" s="23">
        <v>0</v>
      </c>
      <c r="AQ21" s="23">
        <v>0</v>
      </c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</row>
    <row r="22" spans="1:63" x14ac:dyDescent="0.2">
      <c r="A22" s="40"/>
      <c r="B22" s="29">
        <v>0.5</v>
      </c>
      <c r="C22" s="22">
        <v>0</v>
      </c>
      <c r="D22" s="23">
        <v>0</v>
      </c>
      <c r="E22" s="23">
        <v>0</v>
      </c>
      <c r="F22" s="23">
        <v>0</v>
      </c>
      <c r="G22" s="23">
        <v>0</v>
      </c>
      <c r="H22" s="23">
        <v>0</v>
      </c>
      <c r="I22" s="23">
        <v>0</v>
      </c>
      <c r="J22" s="23">
        <v>1</v>
      </c>
      <c r="K22" s="23">
        <v>1</v>
      </c>
      <c r="L22" s="23">
        <v>1</v>
      </c>
      <c r="M22" s="23">
        <v>1</v>
      </c>
      <c r="N22" s="23">
        <v>2</v>
      </c>
      <c r="O22" s="23">
        <v>2</v>
      </c>
      <c r="P22" s="24">
        <v>3</v>
      </c>
      <c r="Q22" s="23">
        <v>2</v>
      </c>
      <c r="R22" s="24">
        <v>1</v>
      </c>
      <c r="S22" s="22">
        <v>2</v>
      </c>
      <c r="T22" s="23">
        <v>1</v>
      </c>
      <c r="U22" s="23">
        <v>2</v>
      </c>
      <c r="V22" s="23">
        <v>2</v>
      </c>
      <c r="W22" s="23">
        <v>0</v>
      </c>
      <c r="X22" s="23">
        <v>2</v>
      </c>
      <c r="Y22" s="23">
        <v>1</v>
      </c>
      <c r="Z22" s="23">
        <v>0</v>
      </c>
      <c r="AA22" s="23">
        <v>0</v>
      </c>
      <c r="AB22" s="23">
        <v>1</v>
      </c>
      <c r="AC22" s="24">
        <v>1</v>
      </c>
      <c r="AD22" s="22">
        <v>1</v>
      </c>
      <c r="AE22" s="23">
        <v>0</v>
      </c>
      <c r="AF22" s="23">
        <v>0</v>
      </c>
      <c r="AG22" s="23">
        <v>2</v>
      </c>
      <c r="AH22" s="23">
        <v>0</v>
      </c>
      <c r="AI22" s="23">
        <v>0</v>
      </c>
      <c r="AJ22" s="23">
        <v>0</v>
      </c>
      <c r="AK22" s="23">
        <v>1</v>
      </c>
      <c r="AL22" s="23">
        <v>0</v>
      </c>
      <c r="AM22" s="23">
        <v>2</v>
      </c>
      <c r="AN22" s="24">
        <v>0</v>
      </c>
      <c r="AO22" s="22">
        <v>0</v>
      </c>
      <c r="AP22" s="23">
        <v>0</v>
      </c>
      <c r="AQ22" s="23">
        <v>0</v>
      </c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</row>
    <row r="23" spans="1:63" ht="13.5" thickBot="1" x14ac:dyDescent="0.25">
      <c r="A23" s="40"/>
      <c r="B23" s="29">
        <v>0</v>
      </c>
      <c r="C23" s="22">
        <v>0</v>
      </c>
      <c r="D23" s="23">
        <v>0</v>
      </c>
      <c r="E23" s="23">
        <v>0</v>
      </c>
      <c r="F23" s="23">
        <v>0</v>
      </c>
      <c r="G23" s="23">
        <v>0</v>
      </c>
      <c r="H23" s="23">
        <v>1</v>
      </c>
      <c r="I23" s="23">
        <v>0</v>
      </c>
      <c r="J23" s="23">
        <v>1</v>
      </c>
      <c r="K23" s="23">
        <v>0</v>
      </c>
      <c r="L23" s="23">
        <v>0</v>
      </c>
      <c r="M23" s="23">
        <v>2</v>
      </c>
      <c r="N23" s="23">
        <v>3</v>
      </c>
      <c r="O23" s="23">
        <v>2</v>
      </c>
      <c r="P23" s="24">
        <v>0</v>
      </c>
      <c r="Q23" s="23">
        <v>7</v>
      </c>
      <c r="R23" s="24">
        <v>3</v>
      </c>
      <c r="S23" s="22">
        <v>1</v>
      </c>
      <c r="T23" s="23">
        <v>4</v>
      </c>
      <c r="U23" s="23">
        <v>0</v>
      </c>
      <c r="V23" s="23">
        <v>2</v>
      </c>
      <c r="W23" s="23">
        <v>3</v>
      </c>
      <c r="X23" s="23">
        <v>0</v>
      </c>
      <c r="Y23" s="23">
        <v>3</v>
      </c>
      <c r="Z23" s="23">
        <v>1</v>
      </c>
      <c r="AA23" s="23">
        <v>0</v>
      </c>
      <c r="AB23" s="23">
        <v>4</v>
      </c>
      <c r="AC23" s="24">
        <v>0</v>
      </c>
      <c r="AD23" s="22">
        <v>0</v>
      </c>
      <c r="AE23" s="23">
        <v>1</v>
      </c>
      <c r="AF23" s="23">
        <v>0</v>
      </c>
      <c r="AG23" s="23">
        <v>1</v>
      </c>
      <c r="AH23" s="23">
        <v>0</v>
      </c>
      <c r="AI23" s="23">
        <v>0</v>
      </c>
      <c r="AJ23" s="23">
        <v>2</v>
      </c>
      <c r="AK23" s="23">
        <v>0</v>
      </c>
      <c r="AL23" s="23">
        <v>0</v>
      </c>
      <c r="AM23" s="23">
        <v>0</v>
      </c>
      <c r="AN23" s="24">
        <v>1</v>
      </c>
      <c r="AO23" s="22">
        <v>0</v>
      </c>
      <c r="AP23" s="23">
        <v>0</v>
      </c>
      <c r="AQ23" s="23">
        <v>0</v>
      </c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</row>
    <row r="24" spans="1:63" ht="13.5" thickBot="1" x14ac:dyDescent="0.25">
      <c r="A24" s="40"/>
      <c r="B24" s="28">
        <v>-0.5</v>
      </c>
      <c r="C24" s="25">
        <v>0</v>
      </c>
      <c r="D24" s="26">
        <v>0</v>
      </c>
      <c r="E24" s="26">
        <v>0</v>
      </c>
      <c r="F24" s="26">
        <v>2</v>
      </c>
      <c r="G24" s="26">
        <v>0</v>
      </c>
      <c r="H24" s="26">
        <v>0</v>
      </c>
      <c r="I24" s="26">
        <v>0</v>
      </c>
      <c r="J24" s="26">
        <v>0</v>
      </c>
      <c r="K24" s="26">
        <v>1</v>
      </c>
      <c r="L24" s="26">
        <v>0</v>
      </c>
      <c r="M24" s="26">
        <v>0</v>
      </c>
      <c r="N24" s="26">
        <v>0</v>
      </c>
      <c r="O24" s="26">
        <v>0</v>
      </c>
      <c r="P24" s="27">
        <v>1</v>
      </c>
      <c r="Q24" s="26">
        <v>0</v>
      </c>
      <c r="R24" s="27">
        <v>4</v>
      </c>
      <c r="S24" s="25">
        <v>0</v>
      </c>
      <c r="T24" s="26">
        <v>3</v>
      </c>
      <c r="U24" s="26">
        <v>0</v>
      </c>
      <c r="V24" s="26">
        <v>0</v>
      </c>
      <c r="W24" s="26">
        <v>0</v>
      </c>
      <c r="X24" s="26">
        <v>1</v>
      </c>
      <c r="Y24" s="26">
        <v>1</v>
      </c>
      <c r="Z24" s="26">
        <v>1</v>
      </c>
      <c r="AA24" s="26">
        <v>0</v>
      </c>
      <c r="AB24" s="26">
        <v>0</v>
      </c>
      <c r="AC24" s="27">
        <v>0</v>
      </c>
      <c r="AD24" s="25">
        <v>0</v>
      </c>
      <c r="AE24" s="26">
        <v>1</v>
      </c>
      <c r="AF24" s="26">
        <v>0</v>
      </c>
      <c r="AG24" s="26">
        <v>0</v>
      </c>
      <c r="AH24" s="26">
        <v>0</v>
      </c>
      <c r="AI24" s="26">
        <v>0</v>
      </c>
      <c r="AJ24" s="26">
        <v>0</v>
      </c>
      <c r="AK24" s="26">
        <v>0</v>
      </c>
      <c r="AL24" s="26">
        <v>0</v>
      </c>
      <c r="AM24" s="26">
        <v>1</v>
      </c>
      <c r="AN24" s="27">
        <v>0</v>
      </c>
      <c r="AO24" s="25">
        <v>0</v>
      </c>
      <c r="AP24" s="26">
        <v>0</v>
      </c>
      <c r="AQ24" s="26">
        <v>0</v>
      </c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</row>
    <row r="25" spans="1:63" x14ac:dyDescent="0.2">
      <c r="A25" s="40"/>
      <c r="B25" s="29">
        <v>-1</v>
      </c>
      <c r="C25" s="19">
        <v>0</v>
      </c>
      <c r="D25" s="20">
        <v>0</v>
      </c>
      <c r="E25" s="20">
        <v>0</v>
      </c>
      <c r="F25" s="20">
        <v>0</v>
      </c>
      <c r="G25" s="20">
        <v>0</v>
      </c>
      <c r="H25" s="20">
        <v>0</v>
      </c>
      <c r="I25" s="20">
        <v>0</v>
      </c>
      <c r="J25" s="20">
        <v>1</v>
      </c>
      <c r="K25" s="20">
        <v>0</v>
      </c>
      <c r="L25" s="20">
        <v>0</v>
      </c>
      <c r="M25" s="20">
        <v>0</v>
      </c>
      <c r="N25" s="20">
        <v>1</v>
      </c>
      <c r="O25" s="20">
        <v>0</v>
      </c>
      <c r="P25" s="21">
        <v>0</v>
      </c>
      <c r="Q25" s="20">
        <v>0</v>
      </c>
      <c r="R25" s="21">
        <v>0</v>
      </c>
      <c r="S25" s="19">
        <v>0</v>
      </c>
      <c r="T25" s="20">
        <v>0</v>
      </c>
      <c r="U25" s="20">
        <v>0</v>
      </c>
      <c r="V25" s="20">
        <v>0</v>
      </c>
      <c r="W25" s="20">
        <v>0</v>
      </c>
      <c r="X25" s="20">
        <v>0</v>
      </c>
      <c r="Y25" s="20">
        <v>0</v>
      </c>
      <c r="Z25" s="20">
        <v>0</v>
      </c>
      <c r="AA25" s="20">
        <v>0</v>
      </c>
      <c r="AB25" s="20">
        <v>0</v>
      </c>
      <c r="AC25" s="21">
        <v>0</v>
      </c>
      <c r="AD25" s="19">
        <v>0</v>
      </c>
      <c r="AE25" s="20">
        <v>0</v>
      </c>
      <c r="AF25" s="20">
        <v>0</v>
      </c>
      <c r="AG25" s="20">
        <v>0</v>
      </c>
      <c r="AH25" s="20">
        <v>0</v>
      </c>
      <c r="AI25" s="20">
        <v>1</v>
      </c>
      <c r="AJ25" s="20">
        <v>0</v>
      </c>
      <c r="AK25" s="20">
        <v>0</v>
      </c>
      <c r="AL25" s="20">
        <v>0</v>
      </c>
      <c r="AM25" s="20">
        <v>0</v>
      </c>
      <c r="AN25" s="21">
        <v>0</v>
      </c>
      <c r="AO25" s="19">
        <v>0</v>
      </c>
      <c r="AP25" s="20">
        <v>0</v>
      </c>
      <c r="AQ25" s="20">
        <v>0</v>
      </c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</row>
    <row r="26" spans="1:63" ht="13.5" thickBot="1" x14ac:dyDescent="0.25">
      <c r="A26" s="40"/>
      <c r="B26" s="29">
        <v>-1.5</v>
      </c>
      <c r="C26" s="22">
        <v>0</v>
      </c>
      <c r="D26" s="23">
        <v>0</v>
      </c>
      <c r="E26" s="23">
        <v>0</v>
      </c>
      <c r="F26" s="23">
        <v>0</v>
      </c>
      <c r="G26" s="23">
        <v>0</v>
      </c>
      <c r="H26" s="23">
        <v>0</v>
      </c>
      <c r="I26" s="23">
        <v>0</v>
      </c>
      <c r="J26" s="23">
        <v>0</v>
      </c>
      <c r="K26" s="23">
        <v>0</v>
      </c>
      <c r="L26" s="23">
        <v>0</v>
      </c>
      <c r="M26" s="23">
        <v>0</v>
      </c>
      <c r="N26" s="23">
        <v>0</v>
      </c>
      <c r="O26" s="23">
        <v>0</v>
      </c>
      <c r="P26" s="24">
        <v>0</v>
      </c>
      <c r="Q26" s="23">
        <v>0</v>
      </c>
      <c r="R26" s="24">
        <v>0</v>
      </c>
      <c r="S26" s="22">
        <v>0</v>
      </c>
      <c r="T26" s="23">
        <v>0</v>
      </c>
      <c r="U26" s="23">
        <v>0</v>
      </c>
      <c r="V26" s="23">
        <v>1</v>
      </c>
      <c r="W26" s="23">
        <v>0</v>
      </c>
      <c r="X26" s="23">
        <v>0</v>
      </c>
      <c r="Y26" s="23">
        <v>0</v>
      </c>
      <c r="Z26" s="23">
        <v>0</v>
      </c>
      <c r="AA26" s="23">
        <v>0</v>
      </c>
      <c r="AB26" s="23">
        <v>0</v>
      </c>
      <c r="AC26" s="24">
        <v>0</v>
      </c>
      <c r="AD26" s="22">
        <v>0</v>
      </c>
      <c r="AE26" s="23">
        <v>0</v>
      </c>
      <c r="AF26" s="23">
        <v>0</v>
      </c>
      <c r="AG26" s="23">
        <v>0</v>
      </c>
      <c r="AH26" s="23">
        <v>0</v>
      </c>
      <c r="AI26" s="23">
        <v>0</v>
      </c>
      <c r="AJ26" s="23">
        <v>0</v>
      </c>
      <c r="AK26" s="23">
        <v>0</v>
      </c>
      <c r="AL26" s="23">
        <v>0</v>
      </c>
      <c r="AM26" s="23">
        <v>0</v>
      </c>
      <c r="AN26" s="24">
        <v>0</v>
      </c>
      <c r="AO26" s="22">
        <v>0</v>
      </c>
      <c r="AP26" s="23">
        <v>0</v>
      </c>
      <c r="AQ26" s="23">
        <v>0</v>
      </c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</row>
    <row r="27" spans="1:63" x14ac:dyDescent="0.2">
      <c r="A27" s="40"/>
      <c r="B27" s="28">
        <v>-2</v>
      </c>
      <c r="C27" s="22">
        <v>0</v>
      </c>
      <c r="D27" s="23">
        <v>0</v>
      </c>
      <c r="E27" s="23">
        <v>0</v>
      </c>
      <c r="F27" s="23">
        <v>0</v>
      </c>
      <c r="G27" s="23">
        <v>0</v>
      </c>
      <c r="H27" s="23">
        <v>0</v>
      </c>
      <c r="I27" s="23">
        <v>0</v>
      </c>
      <c r="J27" s="23">
        <v>0</v>
      </c>
      <c r="K27" s="23">
        <v>0</v>
      </c>
      <c r="L27" s="23">
        <v>0</v>
      </c>
      <c r="M27" s="23">
        <v>0</v>
      </c>
      <c r="N27" s="23">
        <v>0</v>
      </c>
      <c r="O27" s="23">
        <v>0</v>
      </c>
      <c r="P27" s="24">
        <v>0</v>
      </c>
      <c r="Q27" s="23">
        <v>0</v>
      </c>
      <c r="R27" s="24">
        <v>0</v>
      </c>
      <c r="S27" s="22">
        <v>0</v>
      </c>
      <c r="T27" s="23">
        <v>0</v>
      </c>
      <c r="U27" s="23">
        <v>0</v>
      </c>
      <c r="V27" s="23">
        <v>0</v>
      </c>
      <c r="W27" s="23">
        <v>0</v>
      </c>
      <c r="X27" s="23">
        <v>0</v>
      </c>
      <c r="Y27" s="23">
        <v>0</v>
      </c>
      <c r="Z27" s="23">
        <v>0</v>
      </c>
      <c r="AA27" s="23">
        <v>0</v>
      </c>
      <c r="AB27" s="23">
        <v>0</v>
      </c>
      <c r="AC27" s="24">
        <v>0</v>
      </c>
      <c r="AD27" s="22">
        <v>0</v>
      </c>
      <c r="AE27" s="23">
        <v>0</v>
      </c>
      <c r="AF27" s="23">
        <v>0</v>
      </c>
      <c r="AG27" s="23">
        <v>0</v>
      </c>
      <c r="AH27" s="23">
        <v>0</v>
      </c>
      <c r="AI27" s="23">
        <v>0</v>
      </c>
      <c r="AJ27" s="23">
        <v>0</v>
      </c>
      <c r="AK27" s="23">
        <v>0</v>
      </c>
      <c r="AL27" s="23">
        <v>0</v>
      </c>
      <c r="AM27" s="23">
        <v>0</v>
      </c>
      <c r="AN27" s="24">
        <v>0</v>
      </c>
      <c r="AO27" s="22">
        <v>0</v>
      </c>
      <c r="AP27" s="23">
        <v>0</v>
      </c>
      <c r="AQ27" s="23">
        <v>0</v>
      </c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</row>
    <row r="28" spans="1:63" x14ac:dyDescent="0.2">
      <c r="A28" s="40"/>
      <c r="B28" s="29">
        <v>-2.5</v>
      </c>
      <c r="C28" s="22">
        <v>0</v>
      </c>
      <c r="D28" s="23">
        <v>0</v>
      </c>
      <c r="E28" s="23">
        <v>0</v>
      </c>
      <c r="F28" s="23">
        <v>0</v>
      </c>
      <c r="G28" s="23">
        <v>0</v>
      </c>
      <c r="H28" s="23">
        <v>0</v>
      </c>
      <c r="I28" s="23">
        <v>0</v>
      </c>
      <c r="J28" s="23">
        <v>0</v>
      </c>
      <c r="K28" s="23">
        <v>0</v>
      </c>
      <c r="L28" s="23">
        <v>0</v>
      </c>
      <c r="M28" s="23">
        <v>0</v>
      </c>
      <c r="N28" s="23">
        <v>0</v>
      </c>
      <c r="O28" s="23">
        <v>0</v>
      </c>
      <c r="P28" s="24">
        <v>0</v>
      </c>
      <c r="Q28" s="23">
        <v>0</v>
      </c>
      <c r="R28" s="24">
        <v>0</v>
      </c>
      <c r="S28" s="22">
        <v>0</v>
      </c>
      <c r="T28" s="23">
        <v>0</v>
      </c>
      <c r="U28" s="23">
        <v>0</v>
      </c>
      <c r="V28" s="23">
        <v>0</v>
      </c>
      <c r="W28" s="23">
        <v>0</v>
      </c>
      <c r="X28" s="23">
        <v>0</v>
      </c>
      <c r="Y28" s="23">
        <v>0</v>
      </c>
      <c r="Z28" s="23">
        <v>0</v>
      </c>
      <c r="AA28" s="23">
        <v>0</v>
      </c>
      <c r="AB28" s="23">
        <v>0</v>
      </c>
      <c r="AC28" s="24">
        <v>0</v>
      </c>
      <c r="AD28" s="22">
        <v>0</v>
      </c>
      <c r="AE28" s="23">
        <v>0</v>
      </c>
      <c r="AF28" s="23">
        <v>0</v>
      </c>
      <c r="AG28" s="23">
        <v>0</v>
      </c>
      <c r="AH28" s="23">
        <v>0</v>
      </c>
      <c r="AI28" s="23">
        <v>0</v>
      </c>
      <c r="AJ28" s="23">
        <v>0</v>
      </c>
      <c r="AK28" s="23">
        <v>0</v>
      </c>
      <c r="AL28" s="23">
        <v>0</v>
      </c>
      <c r="AM28" s="23">
        <v>0</v>
      </c>
      <c r="AN28" s="24">
        <v>0</v>
      </c>
      <c r="AO28" s="22">
        <v>0</v>
      </c>
      <c r="AP28" s="23">
        <v>0</v>
      </c>
      <c r="AQ28" s="23">
        <v>0</v>
      </c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</row>
    <row r="29" spans="1:63" ht="13.5" thickBot="1" x14ac:dyDescent="0.25">
      <c r="A29" s="40"/>
      <c r="B29" s="29">
        <v>-3</v>
      </c>
      <c r="C29" s="22">
        <v>0</v>
      </c>
      <c r="D29" s="23">
        <v>0</v>
      </c>
      <c r="E29" s="23">
        <v>0</v>
      </c>
      <c r="F29" s="23">
        <v>0</v>
      </c>
      <c r="G29" s="23">
        <v>0</v>
      </c>
      <c r="H29" s="23">
        <v>0</v>
      </c>
      <c r="I29" s="23">
        <v>0</v>
      </c>
      <c r="J29" s="23">
        <v>0</v>
      </c>
      <c r="K29" s="23">
        <v>0</v>
      </c>
      <c r="L29" s="23">
        <v>0</v>
      </c>
      <c r="M29" s="23">
        <v>0</v>
      </c>
      <c r="N29" s="23">
        <v>0</v>
      </c>
      <c r="O29" s="23">
        <v>0</v>
      </c>
      <c r="P29" s="24">
        <v>0</v>
      </c>
      <c r="Q29" s="23">
        <v>0</v>
      </c>
      <c r="R29" s="24">
        <v>0</v>
      </c>
      <c r="S29" s="22">
        <v>0</v>
      </c>
      <c r="T29" s="23">
        <v>0</v>
      </c>
      <c r="U29" s="23">
        <v>0</v>
      </c>
      <c r="V29" s="23">
        <v>0</v>
      </c>
      <c r="W29" s="23">
        <v>0</v>
      </c>
      <c r="X29" s="23">
        <v>0</v>
      </c>
      <c r="Y29" s="23">
        <v>0</v>
      </c>
      <c r="Z29" s="23">
        <v>0</v>
      </c>
      <c r="AA29" s="23">
        <v>0</v>
      </c>
      <c r="AB29" s="23">
        <v>0</v>
      </c>
      <c r="AC29" s="24">
        <v>0</v>
      </c>
      <c r="AD29" s="22">
        <v>0</v>
      </c>
      <c r="AE29" s="23">
        <v>0</v>
      </c>
      <c r="AF29" s="23">
        <v>0</v>
      </c>
      <c r="AG29" s="23">
        <v>0</v>
      </c>
      <c r="AH29" s="23">
        <v>0</v>
      </c>
      <c r="AI29" s="23">
        <v>0</v>
      </c>
      <c r="AJ29" s="23">
        <v>0</v>
      </c>
      <c r="AK29" s="23">
        <v>0</v>
      </c>
      <c r="AL29" s="23">
        <v>0</v>
      </c>
      <c r="AM29" s="23">
        <v>0</v>
      </c>
      <c r="AN29" s="24">
        <v>0</v>
      </c>
      <c r="AO29" s="22">
        <v>0</v>
      </c>
      <c r="AP29" s="23">
        <v>0</v>
      </c>
      <c r="AQ29" s="23">
        <v>0</v>
      </c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</row>
    <row r="30" spans="1:63" x14ac:dyDescent="0.2">
      <c r="A30" s="40"/>
      <c r="B30" s="28">
        <v>-3.5</v>
      </c>
      <c r="C30" s="22">
        <v>0</v>
      </c>
      <c r="D30" s="23">
        <v>0</v>
      </c>
      <c r="E30" s="23">
        <v>0</v>
      </c>
      <c r="F30" s="23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3">
        <v>0</v>
      </c>
      <c r="M30" s="23">
        <v>0</v>
      </c>
      <c r="N30" s="23">
        <v>0</v>
      </c>
      <c r="O30" s="23">
        <v>0</v>
      </c>
      <c r="P30" s="24">
        <v>0</v>
      </c>
      <c r="Q30" s="23">
        <v>0</v>
      </c>
      <c r="R30" s="24">
        <v>0</v>
      </c>
      <c r="S30" s="22">
        <v>0</v>
      </c>
      <c r="T30" s="23">
        <v>0</v>
      </c>
      <c r="U30" s="23">
        <v>0</v>
      </c>
      <c r="V30" s="23">
        <v>0</v>
      </c>
      <c r="W30" s="23">
        <v>0</v>
      </c>
      <c r="X30" s="23">
        <v>0</v>
      </c>
      <c r="Y30" s="23">
        <v>0</v>
      </c>
      <c r="Z30" s="23">
        <v>0</v>
      </c>
      <c r="AA30" s="23">
        <v>0</v>
      </c>
      <c r="AB30" s="23">
        <v>0</v>
      </c>
      <c r="AC30" s="24">
        <v>0</v>
      </c>
      <c r="AD30" s="22">
        <v>0</v>
      </c>
      <c r="AE30" s="23">
        <v>0</v>
      </c>
      <c r="AF30" s="23">
        <v>0</v>
      </c>
      <c r="AG30" s="23">
        <v>0</v>
      </c>
      <c r="AH30" s="23">
        <v>0</v>
      </c>
      <c r="AI30" s="23">
        <v>0</v>
      </c>
      <c r="AJ30" s="23">
        <v>0</v>
      </c>
      <c r="AK30" s="23">
        <v>0</v>
      </c>
      <c r="AL30" s="23">
        <v>0</v>
      </c>
      <c r="AM30" s="23">
        <v>0</v>
      </c>
      <c r="AN30" s="24">
        <v>0</v>
      </c>
      <c r="AO30" s="22">
        <v>0</v>
      </c>
      <c r="AP30" s="23">
        <v>0</v>
      </c>
      <c r="AQ30" s="23">
        <v>0</v>
      </c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</row>
    <row r="31" spans="1:63" x14ac:dyDescent="0.2">
      <c r="A31" s="40"/>
      <c r="B31" s="29">
        <v>-4</v>
      </c>
      <c r="C31" s="22">
        <v>0</v>
      </c>
      <c r="D31" s="23">
        <v>0</v>
      </c>
      <c r="E31" s="23">
        <v>0</v>
      </c>
      <c r="F31" s="23">
        <v>0</v>
      </c>
      <c r="G31" s="23">
        <v>0</v>
      </c>
      <c r="H31" s="23">
        <v>0</v>
      </c>
      <c r="I31" s="23">
        <v>0</v>
      </c>
      <c r="J31" s="23">
        <v>0</v>
      </c>
      <c r="K31" s="23">
        <v>0</v>
      </c>
      <c r="L31" s="23">
        <v>0</v>
      </c>
      <c r="M31" s="23">
        <v>0</v>
      </c>
      <c r="N31" s="23">
        <v>0</v>
      </c>
      <c r="O31" s="23">
        <v>0</v>
      </c>
      <c r="P31" s="24">
        <v>0</v>
      </c>
      <c r="Q31" s="23">
        <v>0</v>
      </c>
      <c r="R31" s="24">
        <v>0</v>
      </c>
      <c r="S31" s="22">
        <v>0</v>
      </c>
      <c r="T31" s="23">
        <v>0</v>
      </c>
      <c r="U31" s="23">
        <v>0</v>
      </c>
      <c r="V31" s="23">
        <v>0</v>
      </c>
      <c r="W31" s="23">
        <v>0</v>
      </c>
      <c r="X31" s="23">
        <v>0</v>
      </c>
      <c r="Y31" s="23">
        <v>0</v>
      </c>
      <c r="Z31" s="23">
        <v>0</v>
      </c>
      <c r="AA31" s="23">
        <v>0</v>
      </c>
      <c r="AB31" s="23">
        <v>0</v>
      </c>
      <c r="AC31" s="24">
        <v>0</v>
      </c>
      <c r="AD31" s="22">
        <v>0</v>
      </c>
      <c r="AE31" s="23">
        <v>0</v>
      </c>
      <c r="AF31" s="23">
        <v>0</v>
      </c>
      <c r="AG31" s="23">
        <v>0</v>
      </c>
      <c r="AH31" s="23">
        <v>0</v>
      </c>
      <c r="AI31" s="23">
        <v>0</v>
      </c>
      <c r="AJ31" s="23">
        <v>0</v>
      </c>
      <c r="AK31" s="23">
        <v>0</v>
      </c>
      <c r="AL31" s="23">
        <v>0</v>
      </c>
      <c r="AM31" s="23">
        <v>0</v>
      </c>
      <c r="AN31" s="24">
        <v>0</v>
      </c>
      <c r="AO31" s="22">
        <v>0</v>
      </c>
      <c r="AP31" s="23">
        <v>0</v>
      </c>
      <c r="AQ31" s="23">
        <v>0</v>
      </c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</row>
    <row r="32" spans="1:63" ht="13.5" thickBot="1" x14ac:dyDescent="0.25">
      <c r="A32" s="40"/>
      <c r="B32" s="29">
        <v>-4.5</v>
      </c>
      <c r="C32" s="22">
        <v>0</v>
      </c>
      <c r="D32" s="23">
        <v>0</v>
      </c>
      <c r="E32" s="23">
        <v>0</v>
      </c>
      <c r="F32" s="23">
        <v>0</v>
      </c>
      <c r="G32" s="23">
        <v>0</v>
      </c>
      <c r="H32" s="23">
        <v>0</v>
      </c>
      <c r="I32" s="23">
        <v>0</v>
      </c>
      <c r="J32" s="23">
        <v>0</v>
      </c>
      <c r="K32" s="23">
        <v>0</v>
      </c>
      <c r="L32" s="23">
        <v>0</v>
      </c>
      <c r="M32" s="23">
        <v>0</v>
      </c>
      <c r="N32" s="23">
        <v>0</v>
      </c>
      <c r="O32" s="23">
        <v>0</v>
      </c>
      <c r="P32" s="24">
        <v>0</v>
      </c>
      <c r="Q32" s="23">
        <v>0</v>
      </c>
      <c r="R32" s="24">
        <v>0</v>
      </c>
      <c r="S32" s="22">
        <v>0</v>
      </c>
      <c r="T32" s="23">
        <v>0</v>
      </c>
      <c r="U32" s="23">
        <v>0</v>
      </c>
      <c r="V32" s="23">
        <v>0</v>
      </c>
      <c r="W32" s="23">
        <v>0</v>
      </c>
      <c r="X32" s="23">
        <v>0</v>
      </c>
      <c r="Y32" s="23">
        <v>0</v>
      </c>
      <c r="Z32" s="23">
        <v>0</v>
      </c>
      <c r="AA32" s="23">
        <v>0</v>
      </c>
      <c r="AB32" s="23">
        <v>0</v>
      </c>
      <c r="AC32" s="24">
        <v>0</v>
      </c>
      <c r="AD32" s="22">
        <v>0</v>
      </c>
      <c r="AE32" s="23">
        <v>0</v>
      </c>
      <c r="AF32" s="23">
        <v>0</v>
      </c>
      <c r="AG32" s="23">
        <v>0</v>
      </c>
      <c r="AH32" s="23">
        <v>0</v>
      </c>
      <c r="AI32" s="23">
        <v>0</v>
      </c>
      <c r="AJ32" s="23">
        <v>0</v>
      </c>
      <c r="AK32" s="23">
        <v>0</v>
      </c>
      <c r="AL32" s="23">
        <v>0</v>
      </c>
      <c r="AM32" s="23">
        <v>0</v>
      </c>
      <c r="AN32" s="24">
        <v>0</v>
      </c>
      <c r="AO32" s="22">
        <v>0</v>
      </c>
      <c r="AP32" s="23">
        <v>0</v>
      </c>
      <c r="AQ32" s="23">
        <v>0</v>
      </c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</row>
    <row r="33" spans="1:63" x14ac:dyDescent="0.2">
      <c r="A33" s="40"/>
      <c r="B33" s="28">
        <v>-5</v>
      </c>
      <c r="C33" s="22">
        <v>0</v>
      </c>
      <c r="D33" s="23">
        <v>0</v>
      </c>
      <c r="E33" s="23">
        <v>0</v>
      </c>
      <c r="F33" s="23">
        <v>0</v>
      </c>
      <c r="G33" s="23">
        <v>0</v>
      </c>
      <c r="H33" s="23">
        <v>0</v>
      </c>
      <c r="I33" s="23">
        <v>0</v>
      </c>
      <c r="J33" s="23">
        <v>0</v>
      </c>
      <c r="K33" s="23">
        <v>0</v>
      </c>
      <c r="L33" s="23">
        <v>0</v>
      </c>
      <c r="M33" s="23">
        <v>0</v>
      </c>
      <c r="N33" s="23">
        <v>0</v>
      </c>
      <c r="O33" s="23">
        <v>0</v>
      </c>
      <c r="P33" s="24">
        <v>0</v>
      </c>
      <c r="Q33" s="23">
        <v>0</v>
      </c>
      <c r="R33" s="24">
        <v>0</v>
      </c>
      <c r="S33" s="22">
        <v>0</v>
      </c>
      <c r="T33" s="23">
        <v>0</v>
      </c>
      <c r="U33" s="23">
        <v>0</v>
      </c>
      <c r="V33" s="23">
        <v>0</v>
      </c>
      <c r="W33" s="23">
        <v>0</v>
      </c>
      <c r="X33" s="23">
        <v>0</v>
      </c>
      <c r="Y33" s="23">
        <v>0</v>
      </c>
      <c r="Z33" s="23">
        <v>0</v>
      </c>
      <c r="AA33" s="23">
        <v>0</v>
      </c>
      <c r="AB33" s="23">
        <v>0</v>
      </c>
      <c r="AC33" s="24">
        <v>0</v>
      </c>
      <c r="AD33" s="22">
        <v>0</v>
      </c>
      <c r="AE33" s="23">
        <v>0</v>
      </c>
      <c r="AF33" s="23">
        <v>0</v>
      </c>
      <c r="AG33" s="23">
        <v>0</v>
      </c>
      <c r="AH33" s="23">
        <v>0</v>
      </c>
      <c r="AI33" s="23">
        <v>0</v>
      </c>
      <c r="AJ33" s="23">
        <v>0</v>
      </c>
      <c r="AK33" s="23">
        <v>0</v>
      </c>
      <c r="AL33" s="23">
        <v>0</v>
      </c>
      <c r="AM33" s="23">
        <v>0</v>
      </c>
      <c r="AN33" s="24">
        <v>0</v>
      </c>
      <c r="AO33" s="22">
        <v>0</v>
      </c>
      <c r="AP33" s="23">
        <v>0</v>
      </c>
      <c r="AQ33" s="23">
        <v>0</v>
      </c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</row>
    <row r="34" spans="1:63" x14ac:dyDescent="0.2">
      <c r="A34" s="40"/>
      <c r="B34" s="29">
        <v>-5.5</v>
      </c>
      <c r="C34" s="22">
        <v>0</v>
      </c>
      <c r="D34" s="23">
        <v>0</v>
      </c>
      <c r="E34" s="23">
        <v>0</v>
      </c>
      <c r="F34" s="23">
        <v>0</v>
      </c>
      <c r="G34" s="23">
        <v>0</v>
      </c>
      <c r="H34" s="23">
        <v>0</v>
      </c>
      <c r="I34" s="23">
        <v>0</v>
      </c>
      <c r="J34" s="23">
        <v>0</v>
      </c>
      <c r="K34" s="23">
        <v>0</v>
      </c>
      <c r="L34" s="23">
        <v>0</v>
      </c>
      <c r="M34" s="23">
        <v>0</v>
      </c>
      <c r="N34" s="23">
        <v>0</v>
      </c>
      <c r="O34" s="23">
        <v>0</v>
      </c>
      <c r="P34" s="24">
        <v>0</v>
      </c>
      <c r="Q34" s="23">
        <v>0</v>
      </c>
      <c r="R34" s="24">
        <v>0</v>
      </c>
      <c r="S34" s="22">
        <v>0</v>
      </c>
      <c r="T34" s="23">
        <v>0</v>
      </c>
      <c r="U34" s="23">
        <v>0</v>
      </c>
      <c r="V34" s="23">
        <v>0</v>
      </c>
      <c r="W34" s="23">
        <v>0</v>
      </c>
      <c r="X34" s="23">
        <v>0</v>
      </c>
      <c r="Y34" s="23">
        <v>0</v>
      </c>
      <c r="Z34" s="23">
        <v>0</v>
      </c>
      <c r="AA34" s="23">
        <v>0</v>
      </c>
      <c r="AB34" s="23">
        <v>0</v>
      </c>
      <c r="AC34" s="24">
        <v>0</v>
      </c>
      <c r="AD34" s="22">
        <v>0</v>
      </c>
      <c r="AE34" s="23">
        <v>0</v>
      </c>
      <c r="AF34" s="23">
        <v>0</v>
      </c>
      <c r="AG34" s="23">
        <v>0</v>
      </c>
      <c r="AH34" s="23">
        <v>0</v>
      </c>
      <c r="AI34" s="23">
        <v>0</v>
      </c>
      <c r="AJ34" s="23">
        <v>0</v>
      </c>
      <c r="AK34" s="23">
        <v>0</v>
      </c>
      <c r="AL34" s="23">
        <v>0</v>
      </c>
      <c r="AM34" s="23">
        <v>0</v>
      </c>
      <c r="AN34" s="24">
        <v>0</v>
      </c>
      <c r="AO34" s="22">
        <v>0</v>
      </c>
      <c r="AP34" s="23">
        <v>0</v>
      </c>
      <c r="AQ34" s="23">
        <v>0</v>
      </c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</row>
    <row r="35" spans="1:63" ht="13.5" thickBot="1" x14ac:dyDescent="0.25">
      <c r="A35" s="40"/>
      <c r="B35" s="29">
        <v>-6</v>
      </c>
      <c r="C35" s="25">
        <v>0</v>
      </c>
      <c r="D35" s="26">
        <v>0</v>
      </c>
      <c r="E35" s="26">
        <v>0</v>
      </c>
      <c r="F35" s="26">
        <v>0</v>
      </c>
      <c r="G35" s="26">
        <v>0</v>
      </c>
      <c r="H35" s="26">
        <v>0</v>
      </c>
      <c r="I35" s="26">
        <v>0</v>
      </c>
      <c r="J35" s="26">
        <v>0</v>
      </c>
      <c r="K35" s="26">
        <v>0</v>
      </c>
      <c r="L35" s="26">
        <v>0</v>
      </c>
      <c r="M35" s="26">
        <v>0</v>
      </c>
      <c r="N35" s="26">
        <v>0</v>
      </c>
      <c r="O35" s="26">
        <v>0</v>
      </c>
      <c r="P35" s="27">
        <v>0</v>
      </c>
      <c r="Q35" s="26">
        <v>0</v>
      </c>
      <c r="R35" s="27">
        <v>0</v>
      </c>
      <c r="S35" s="25">
        <v>0</v>
      </c>
      <c r="T35" s="26">
        <v>0</v>
      </c>
      <c r="U35" s="26">
        <v>0</v>
      </c>
      <c r="V35" s="26">
        <v>0</v>
      </c>
      <c r="W35" s="26">
        <v>0</v>
      </c>
      <c r="X35" s="26">
        <v>0</v>
      </c>
      <c r="Y35" s="26">
        <v>0</v>
      </c>
      <c r="Z35" s="26">
        <v>0</v>
      </c>
      <c r="AA35" s="26">
        <v>0</v>
      </c>
      <c r="AB35" s="26">
        <v>0</v>
      </c>
      <c r="AC35" s="27">
        <v>0</v>
      </c>
      <c r="AD35" s="25">
        <v>0</v>
      </c>
      <c r="AE35" s="26">
        <v>0</v>
      </c>
      <c r="AF35" s="26">
        <v>0</v>
      </c>
      <c r="AG35" s="26">
        <v>0</v>
      </c>
      <c r="AH35" s="26">
        <v>0</v>
      </c>
      <c r="AI35" s="26">
        <v>0</v>
      </c>
      <c r="AJ35" s="26">
        <v>0</v>
      </c>
      <c r="AK35" s="26">
        <v>0</v>
      </c>
      <c r="AL35" s="26">
        <v>0</v>
      </c>
      <c r="AM35" s="26">
        <v>0</v>
      </c>
      <c r="AN35" s="27">
        <v>0</v>
      </c>
      <c r="AO35" s="25">
        <v>0</v>
      </c>
      <c r="AP35" s="26">
        <v>0</v>
      </c>
      <c r="AQ35" s="26">
        <v>0</v>
      </c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</row>
    <row r="36" spans="1:63" x14ac:dyDescent="0.2">
      <c r="A36" s="40"/>
      <c r="B36" s="28">
        <v>-6.5</v>
      </c>
      <c r="C36" s="19">
        <v>0</v>
      </c>
      <c r="D36" s="20">
        <v>0</v>
      </c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0">
        <v>0</v>
      </c>
      <c r="P36" s="21">
        <v>0</v>
      </c>
      <c r="Q36" s="20">
        <v>0</v>
      </c>
      <c r="R36" s="21">
        <v>0</v>
      </c>
      <c r="S36" s="19">
        <v>0</v>
      </c>
      <c r="T36" s="20">
        <v>0</v>
      </c>
      <c r="U36" s="20">
        <v>0</v>
      </c>
      <c r="V36" s="20">
        <v>0</v>
      </c>
      <c r="W36" s="20">
        <v>0</v>
      </c>
      <c r="X36" s="20">
        <v>0</v>
      </c>
      <c r="Y36" s="20">
        <v>0</v>
      </c>
      <c r="Z36" s="20">
        <v>0</v>
      </c>
      <c r="AA36" s="20">
        <v>0</v>
      </c>
      <c r="AB36" s="20">
        <v>0</v>
      </c>
      <c r="AC36" s="21">
        <v>0</v>
      </c>
      <c r="AD36" s="19">
        <v>0</v>
      </c>
      <c r="AE36" s="20">
        <v>0</v>
      </c>
      <c r="AF36" s="20">
        <v>0</v>
      </c>
      <c r="AG36" s="20">
        <v>0</v>
      </c>
      <c r="AH36" s="20">
        <v>0</v>
      </c>
      <c r="AI36" s="20">
        <v>0</v>
      </c>
      <c r="AJ36" s="20">
        <v>0</v>
      </c>
      <c r="AK36" s="20">
        <v>0</v>
      </c>
      <c r="AL36" s="20">
        <v>0</v>
      </c>
      <c r="AM36" s="20">
        <v>0</v>
      </c>
      <c r="AN36" s="21">
        <v>0</v>
      </c>
      <c r="AO36" s="19">
        <v>0</v>
      </c>
      <c r="AP36" s="20">
        <v>0</v>
      </c>
      <c r="AQ36" s="20">
        <v>0</v>
      </c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</row>
    <row r="37" spans="1:63" x14ac:dyDescent="0.2">
      <c r="A37" s="40"/>
      <c r="B37" s="29">
        <v>-7</v>
      </c>
      <c r="C37" s="22">
        <v>0</v>
      </c>
      <c r="D37" s="23">
        <v>0</v>
      </c>
      <c r="E37" s="23">
        <v>0</v>
      </c>
      <c r="F37" s="23">
        <v>0</v>
      </c>
      <c r="G37" s="23">
        <v>0</v>
      </c>
      <c r="H37" s="23">
        <v>0</v>
      </c>
      <c r="I37" s="23">
        <v>0</v>
      </c>
      <c r="J37" s="23">
        <v>0</v>
      </c>
      <c r="K37" s="23">
        <v>0</v>
      </c>
      <c r="L37" s="23">
        <v>0</v>
      </c>
      <c r="M37" s="23">
        <v>0</v>
      </c>
      <c r="N37" s="23">
        <v>0</v>
      </c>
      <c r="O37" s="23">
        <v>0</v>
      </c>
      <c r="P37" s="24">
        <v>0</v>
      </c>
      <c r="Q37" s="23">
        <v>0</v>
      </c>
      <c r="R37" s="24">
        <v>0</v>
      </c>
      <c r="S37" s="22">
        <v>0</v>
      </c>
      <c r="T37" s="23">
        <v>0</v>
      </c>
      <c r="U37" s="23">
        <v>0</v>
      </c>
      <c r="V37" s="23">
        <v>0</v>
      </c>
      <c r="W37" s="23">
        <v>0</v>
      </c>
      <c r="X37" s="23">
        <v>0</v>
      </c>
      <c r="Y37" s="23">
        <v>0</v>
      </c>
      <c r="Z37" s="23">
        <v>0</v>
      </c>
      <c r="AA37" s="23">
        <v>0</v>
      </c>
      <c r="AB37" s="23">
        <v>0</v>
      </c>
      <c r="AC37" s="24">
        <v>0</v>
      </c>
      <c r="AD37" s="22">
        <v>0</v>
      </c>
      <c r="AE37" s="23">
        <v>0</v>
      </c>
      <c r="AF37" s="23">
        <v>0</v>
      </c>
      <c r="AG37" s="23">
        <v>0</v>
      </c>
      <c r="AH37" s="23">
        <v>0</v>
      </c>
      <c r="AI37" s="23">
        <v>0</v>
      </c>
      <c r="AJ37" s="23">
        <v>0</v>
      </c>
      <c r="AK37" s="23">
        <v>0</v>
      </c>
      <c r="AL37" s="23">
        <v>0</v>
      </c>
      <c r="AM37" s="23">
        <v>0</v>
      </c>
      <c r="AN37" s="24">
        <v>0</v>
      </c>
      <c r="AO37" s="22">
        <v>0</v>
      </c>
      <c r="AP37" s="23">
        <v>0</v>
      </c>
      <c r="AQ37" s="23">
        <v>0</v>
      </c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</row>
    <row r="38" spans="1:63" ht="13.5" thickBot="1" x14ac:dyDescent="0.25">
      <c r="A38" s="40"/>
      <c r="B38" s="29">
        <v>-7.5</v>
      </c>
      <c r="C38" s="22">
        <v>0</v>
      </c>
      <c r="D38" s="23">
        <v>0</v>
      </c>
      <c r="E38" s="23">
        <v>0</v>
      </c>
      <c r="F38" s="23">
        <v>0</v>
      </c>
      <c r="G38" s="23">
        <v>0</v>
      </c>
      <c r="H38" s="23">
        <v>0</v>
      </c>
      <c r="I38" s="23">
        <v>0</v>
      </c>
      <c r="J38" s="23">
        <v>0</v>
      </c>
      <c r="K38" s="23">
        <v>0</v>
      </c>
      <c r="L38" s="23">
        <v>0</v>
      </c>
      <c r="M38" s="23">
        <v>0</v>
      </c>
      <c r="N38" s="23">
        <v>0</v>
      </c>
      <c r="O38" s="23">
        <v>0</v>
      </c>
      <c r="P38" s="24">
        <v>0</v>
      </c>
      <c r="Q38" s="23">
        <v>0</v>
      </c>
      <c r="R38" s="24">
        <v>0</v>
      </c>
      <c r="S38" s="22">
        <v>0</v>
      </c>
      <c r="T38" s="23">
        <v>0</v>
      </c>
      <c r="U38" s="23">
        <v>0</v>
      </c>
      <c r="V38" s="23">
        <v>0</v>
      </c>
      <c r="W38" s="23">
        <v>0</v>
      </c>
      <c r="X38" s="23">
        <v>0</v>
      </c>
      <c r="Y38" s="23">
        <v>0</v>
      </c>
      <c r="Z38" s="23">
        <v>0</v>
      </c>
      <c r="AA38" s="23">
        <v>0</v>
      </c>
      <c r="AB38" s="23">
        <v>0</v>
      </c>
      <c r="AC38" s="24">
        <v>0</v>
      </c>
      <c r="AD38" s="22">
        <v>0</v>
      </c>
      <c r="AE38" s="23">
        <v>0</v>
      </c>
      <c r="AF38" s="23">
        <v>0</v>
      </c>
      <c r="AG38" s="23">
        <v>0</v>
      </c>
      <c r="AH38" s="23">
        <v>0</v>
      </c>
      <c r="AI38" s="23">
        <v>0</v>
      </c>
      <c r="AJ38" s="23">
        <v>0</v>
      </c>
      <c r="AK38" s="23">
        <v>0</v>
      </c>
      <c r="AL38" s="23">
        <v>0</v>
      </c>
      <c r="AM38" s="23">
        <v>0</v>
      </c>
      <c r="AN38" s="24">
        <v>0</v>
      </c>
      <c r="AO38" s="22">
        <v>0</v>
      </c>
      <c r="AP38" s="23">
        <v>0</v>
      </c>
      <c r="AQ38" s="23">
        <v>0</v>
      </c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</row>
    <row r="39" spans="1:63" x14ac:dyDescent="0.2">
      <c r="A39" s="40"/>
      <c r="B39" s="28">
        <v>-8</v>
      </c>
      <c r="C39" s="22">
        <v>0</v>
      </c>
      <c r="D39" s="23">
        <v>0</v>
      </c>
      <c r="E39" s="23">
        <v>0</v>
      </c>
      <c r="F39" s="23">
        <v>0</v>
      </c>
      <c r="G39" s="23">
        <v>0</v>
      </c>
      <c r="H39" s="23">
        <v>0</v>
      </c>
      <c r="I39" s="23">
        <v>0</v>
      </c>
      <c r="J39" s="23">
        <v>0</v>
      </c>
      <c r="K39" s="23">
        <v>0</v>
      </c>
      <c r="L39" s="23">
        <v>0</v>
      </c>
      <c r="M39" s="23">
        <v>0</v>
      </c>
      <c r="N39" s="23">
        <v>0</v>
      </c>
      <c r="O39" s="23">
        <v>0</v>
      </c>
      <c r="P39" s="24">
        <v>0</v>
      </c>
      <c r="Q39" s="23">
        <v>0</v>
      </c>
      <c r="R39" s="24">
        <v>0</v>
      </c>
      <c r="S39" s="22">
        <v>0</v>
      </c>
      <c r="T39" s="23">
        <v>0</v>
      </c>
      <c r="U39" s="23">
        <v>0</v>
      </c>
      <c r="V39" s="23">
        <v>0</v>
      </c>
      <c r="W39" s="23">
        <v>0</v>
      </c>
      <c r="X39" s="23">
        <v>0</v>
      </c>
      <c r="Y39" s="23">
        <v>0</v>
      </c>
      <c r="Z39" s="23">
        <v>0</v>
      </c>
      <c r="AA39" s="23">
        <v>0</v>
      </c>
      <c r="AB39" s="23">
        <v>0</v>
      </c>
      <c r="AC39" s="24">
        <v>0</v>
      </c>
      <c r="AD39" s="22">
        <v>0</v>
      </c>
      <c r="AE39" s="23">
        <v>0</v>
      </c>
      <c r="AF39" s="23">
        <v>0</v>
      </c>
      <c r="AG39" s="23">
        <v>0</v>
      </c>
      <c r="AH39" s="23">
        <v>0</v>
      </c>
      <c r="AI39" s="23">
        <v>0</v>
      </c>
      <c r="AJ39" s="23">
        <v>0</v>
      </c>
      <c r="AK39" s="23">
        <v>0</v>
      </c>
      <c r="AL39" s="23">
        <v>0</v>
      </c>
      <c r="AM39" s="23">
        <v>0</v>
      </c>
      <c r="AN39" s="24">
        <v>0</v>
      </c>
      <c r="AO39" s="22">
        <v>0</v>
      </c>
      <c r="AP39" s="23">
        <v>0</v>
      </c>
      <c r="AQ39" s="23">
        <v>0</v>
      </c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</row>
    <row r="40" spans="1:63" x14ac:dyDescent="0.2">
      <c r="A40" s="40"/>
      <c r="B40" s="29">
        <v>-8.5</v>
      </c>
      <c r="C40" s="22">
        <v>0</v>
      </c>
      <c r="D40" s="23">
        <v>0</v>
      </c>
      <c r="E40" s="23">
        <v>0</v>
      </c>
      <c r="F40" s="23">
        <v>0</v>
      </c>
      <c r="G40" s="23">
        <v>0</v>
      </c>
      <c r="H40" s="23">
        <v>0</v>
      </c>
      <c r="I40" s="23">
        <v>0</v>
      </c>
      <c r="J40" s="23">
        <v>0</v>
      </c>
      <c r="K40" s="23">
        <v>0</v>
      </c>
      <c r="L40" s="23">
        <v>0</v>
      </c>
      <c r="M40" s="23">
        <v>0</v>
      </c>
      <c r="N40" s="23">
        <v>0</v>
      </c>
      <c r="O40" s="23">
        <v>0</v>
      </c>
      <c r="P40" s="24">
        <v>0</v>
      </c>
      <c r="Q40" s="23">
        <v>0</v>
      </c>
      <c r="R40" s="24">
        <v>0</v>
      </c>
      <c r="S40" s="22">
        <v>0</v>
      </c>
      <c r="T40" s="23">
        <v>0</v>
      </c>
      <c r="U40" s="23">
        <v>0</v>
      </c>
      <c r="V40" s="23">
        <v>0</v>
      </c>
      <c r="W40" s="23">
        <v>0</v>
      </c>
      <c r="X40" s="23">
        <v>0</v>
      </c>
      <c r="Y40" s="23">
        <v>0</v>
      </c>
      <c r="Z40" s="23">
        <v>0</v>
      </c>
      <c r="AA40" s="23">
        <v>0</v>
      </c>
      <c r="AB40" s="23">
        <v>0</v>
      </c>
      <c r="AC40" s="24">
        <v>0</v>
      </c>
      <c r="AD40" s="22">
        <v>0</v>
      </c>
      <c r="AE40" s="23">
        <v>0</v>
      </c>
      <c r="AF40" s="23">
        <v>0</v>
      </c>
      <c r="AG40" s="23">
        <v>0</v>
      </c>
      <c r="AH40" s="23">
        <v>0</v>
      </c>
      <c r="AI40" s="23">
        <v>0</v>
      </c>
      <c r="AJ40" s="23">
        <v>0</v>
      </c>
      <c r="AK40" s="23">
        <v>0</v>
      </c>
      <c r="AL40" s="23">
        <v>0</v>
      </c>
      <c r="AM40" s="23">
        <v>0</v>
      </c>
      <c r="AN40" s="24">
        <v>0</v>
      </c>
      <c r="AO40" s="22">
        <v>0</v>
      </c>
      <c r="AP40" s="23">
        <v>0</v>
      </c>
      <c r="AQ40" s="23">
        <v>0</v>
      </c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</row>
    <row r="41" spans="1:63" ht="13.5" thickBot="1" x14ac:dyDescent="0.25">
      <c r="A41" s="40"/>
      <c r="B41" s="29">
        <v>-9</v>
      </c>
      <c r="C41" s="22">
        <v>0</v>
      </c>
      <c r="D41" s="23">
        <v>0</v>
      </c>
      <c r="E41" s="23">
        <v>0</v>
      </c>
      <c r="F41" s="23">
        <v>0</v>
      </c>
      <c r="G41" s="23">
        <v>0</v>
      </c>
      <c r="H41" s="23">
        <v>0</v>
      </c>
      <c r="I41" s="23">
        <v>0</v>
      </c>
      <c r="J41" s="23">
        <v>0</v>
      </c>
      <c r="K41" s="23">
        <v>0</v>
      </c>
      <c r="L41" s="23">
        <v>0</v>
      </c>
      <c r="M41" s="23">
        <v>0</v>
      </c>
      <c r="N41" s="23">
        <v>0</v>
      </c>
      <c r="O41" s="23">
        <v>0</v>
      </c>
      <c r="P41" s="24">
        <v>0</v>
      </c>
      <c r="Q41" s="23">
        <v>0</v>
      </c>
      <c r="R41" s="24">
        <v>0</v>
      </c>
      <c r="S41" s="22">
        <v>0</v>
      </c>
      <c r="T41" s="23">
        <v>0</v>
      </c>
      <c r="U41" s="23">
        <v>0</v>
      </c>
      <c r="V41" s="23">
        <v>0</v>
      </c>
      <c r="W41" s="23">
        <v>0</v>
      </c>
      <c r="X41" s="23">
        <v>0</v>
      </c>
      <c r="Y41" s="23">
        <v>0</v>
      </c>
      <c r="Z41" s="23">
        <v>0</v>
      </c>
      <c r="AA41" s="23">
        <v>0</v>
      </c>
      <c r="AB41" s="23">
        <v>0</v>
      </c>
      <c r="AC41" s="24">
        <v>0</v>
      </c>
      <c r="AD41" s="22">
        <v>0</v>
      </c>
      <c r="AE41" s="23">
        <v>0</v>
      </c>
      <c r="AF41" s="23">
        <v>0</v>
      </c>
      <c r="AG41" s="23">
        <v>0</v>
      </c>
      <c r="AH41" s="23">
        <v>0</v>
      </c>
      <c r="AI41" s="23">
        <v>0</v>
      </c>
      <c r="AJ41" s="23">
        <v>0</v>
      </c>
      <c r="AK41" s="23">
        <v>0</v>
      </c>
      <c r="AL41" s="23">
        <v>0</v>
      </c>
      <c r="AM41" s="23">
        <v>0</v>
      </c>
      <c r="AN41" s="24">
        <v>0</v>
      </c>
      <c r="AO41" s="22">
        <v>0</v>
      </c>
      <c r="AP41" s="23">
        <v>0</v>
      </c>
      <c r="AQ41" s="23">
        <v>0</v>
      </c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</row>
    <row r="42" spans="1:63" x14ac:dyDescent="0.2">
      <c r="A42" s="40"/>
      <c r="B42" s="28">
        <v>-9.5</v>
      </c>
      <c r="C42" s="22">
        <v>0</v>
      </c>
      <c r="D42" s="23">
        <v>0</v>
      </c>
      <c r="E42" s="23">
        <v>0</v>
      </c>
      <c r="F42" s="23">
        <v>0</v>
      </c>
      <c r="G42" s="23">
        <v>0</v>
      </c>
      <c r="H42" s="23">
        <v>0</v>
      </c>
      <c r="I42" s="23">
        <v>0</v>
      </c>
      <c r="J42" s="23">
        <v>0</v>
      </c>
      <c r="K42" s="23">
        <v>0</v>
      </c>
      <c r="L42" s="23">
        <v>0</v>
      </c>
      <c r="M42" s="23">
        <v>0</v>
      </c>
      <c r="N42" s="23">
        <v>0</v>
      </c>
      <c r="O42" s="23">
        <v>0</v>
      </c>
      <c r="P42" s="24">
        <v>0</v>
      </c>
      <c r="Q42" s="23">
        <v>0</v>
      </c>
      <c r="R42" s="24">
        <v>0</v>
      </c>
      <c r="S42" s="22">
        <v>0</v>
      </c>
      <c r="T42" s="23">
        <v>0</v>
      </c>
      <c r="U42" s="23">
        <v>0</v>
      </c>
      <c r="V42" s="23">
        <v>0</v>
      </c>
      <c r="W42" s="23">
        <v>0</v>
      </c>
      <c r="X42" s="23">
        <v>0</v>
      </c>
      <c r="Y42" s="23">
        <v>0</v>
      </c>
      <c r="Z42" s="23">
        <v>0</v>
      </c>
      <c r="AA42" s="23">
        <v>0</v>
      </c>
      <c r="AB42" s="23">
        <v>0</v>
      </c>
      <c r="AC42" s="24">
        <v>0</v>
      </c>
      <c r="AD42" s="22">
        <v>0</v>
      </c>
      <c r="AE42" s="23">
        <v>0</v>
      </c>
      <c r="AF42" s="23">
        <v>0</v>
      </c>
      <c r="AG42" s="23">
        <v>0</v>
      </c>
      <c r="AH42" s="23">
        <v>0</v>
      </c>
      <c r="AI42" s="23">
        <v>0</v>
      </c>
      <c r="AJ42" s="23">
        <v>0</v>
      </c>
      <c r="AK42" s="23">
        <v>0</v>
      </c>
      <c r="AL42" s="23">
        <v>0</v>
      </c>
      <c r="AM42" s="23">
        <v>0</v>
      </c>
      <c r="AN42" s="24">
        <v>0</v>
      </c>
      <c r="AO42" s="22">
        <v>0</v>
      </c>
      <c r="AP42" s="23">
        <v>0</v>
      </c>
      <c r="AQ42" s="23">
        <v>0</v>
      </c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</row>
    <row r="43" spans="1:63" x14ac:dyDescent="0.2">
      <c r="A43" s="40"/>
      <c r="B43" s="29">
        <v>-10</v>
      </c>
      <c r="C43" s="22">
        <v>0</v>
      </c>
      <c r="D43" s="23">
        <v>0</v>
      </c>
      <c r="E43" s="23">
        <v>0</v>
      </c>
      <c r="F43" s="23">
        <v>0</v>
      </c>
      <c r="G43" s="23">
        <v>0</v>
      </c>
      <c r="H43" s="23">
        <v>0</v>
      </c>
      <c r="I43" s="23">
        <v>0</v>
      </c>
      <c r="J43" s="23">
        <v>0</v>
      </c>
      <c r="K43" s="23">
        <v>0</v>
      </c>
      <c r="L43" s="23">
        <v>0</v>
      </c>
      <c r="M43" s="23">
        <v>0</v>
      </c>
      <c r="N43" s="23">
        <v>0</v>
      </c>
      <c r="O43" s="23">
        <v>0</v>
      </c>
      <c r="P43" s="24">
        <v>0</v>
      </c>
      <c r="Q43" s="23">
        <v>0</v>
      </c>
      <c r="R43" s="24">
        <v>0</v>
      </c>
      <c r="S43" s="22">
        <v>0</v>
      </c>
      <c r="T43" s="23">
        <v>0</v>
      </c>
      <c r="U43" s="23">
        <v>0</v>
      </c>
      <c r="V43" s="23">
        <v>0</v>
      </c>
      <c r="W43" s="23">
        <v>0</v>
      </c>
      <c r="X43" s="23">
        <v>0</v>
      </c>
      <c r="Y43" s="23">
        <v>0</v>
      </c>
      <c r="Z43" s="23">
        <v>0</v>
      </c>
      <c r="AA43" s="23">
        <v>0</v>
      </c>
      <c r="AB43" s="23">
        <v>0</v>
      </c>
      <c r="AC43" s="24">
        <v>0</v>
      </c>
      <c r="AD43" s="22">
        <v>0</v>
      </c>
      <c r="AE43" s="23">
        <v>0</v>
      </c>
      <c r="AF43" s="23">
        <v>0</v>
      </c>
      <c r="AG43" s="23">
        <v>0</v>
      </c>
      <c r="AH43" s="23">
        <v>0</v>
      </c>
      <c r="AI43" s="23">
        <v>0</v>
      </c>
      <c r="AJ43" s="23">
        <v>0</v>
      </c>
      <c r="AK43" s="23">
        <v>0</v>
      </c>
      <c r="AL43" s="23">
        <v>0</v>
      </c>
      <c r="AM43" s="23">
        <v>0</v>
      </c>
      <c r="AN43" s="24">
        <v>0</v>
      </c>
      <c r="AO43" s="22">
        <v>0</v>
      </c>
      <c r="AP43" s="23">
        <v>0</v>
      </c>
      <c r="AQ43" s="23">
        <v>0</v>
      </c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</row>
    <row r="44" spans="1:63" s="7" customFormat="1" x14ac:dyDescent="0.2"/>
    <row r="45" spans="1:63" s="7" customFormat="1" ht="13.5" thickBot="1" x14ac:dyDescent="0.25"/>
    <row r="46" spans="1:63" s="7" customFormat="1" x14ac:dyDescent="0.2">
      <c r="A46" s="46" t="s">
        <v>2</v>
      </c>
      <c r="B46" s="47"/>
      <c r="C46" s="9" t="e">
        <f>(SUM(D48:D58)/SUM(#REF!))^(0.5)</f>
        <v>#REF!</v>
      </c>
      <c r="Q46" s="14"/>
      <c r="R46" s="14"/>
      <c r="S46" s="9"/>
      <c r="AD46" s="9"/>
      <c r="AO46" s="9"/>
    </row>
    <row r="47" spans="1:63" s="7" customFormat="1" hidden="1" x14ac:dyDescent="0.2">
      <c r="A47" s="10" t="s">
        <v>3</v>
      </c>
      <c r="B47" s="8" t="s">
        <v>4</v>
      </c>
      <c r="C47" s="11" t="s">
        <v>5</v>
      </c>
      <c r="D47" s="7" t="s">
        <v>6</v>
      </c>
      <c r="Q47" s="15"/>
      <c r="R47" s="15"/>
      <c r="S47" s="11"/>
      <c r="AD47" s="11"/>
      <c r="AE47" s="7" t="s">
        <v>6</v>
      </c>
      <c r="AO47" s="11"/>
      <c r="AP47" s="7" t="s">
        <v>6</v>
      </c>
    </row>
    <row r="48" spans="1:63" s="7" customFormat="1" hidden="1" x14ac:dyDescent="0.2">
      <c r="A48" s="10">
        <v>7.5</v>
      </c>
      <c r="B48" s="8">
        <f t="shared" ref="B48:B58" si="0">SUM(S3:AC3)</f>
        <v>0</v>
      </c>
      <c r="C48" s="11" t="e">
        <f>#REF!*#REF!</f>
        <v>#REF!</v>
      </c>
      <c r="D48" s="7" t="e">
        <f>(#REF!-C59)^2*#REF!</f>
        <v>#REF!</v>
      </c>
      <c r="Q48" s="15"/>
      <c r="R48" s="15"/>
      <c r="S48" s="11"/>
      <c r="AD48" s="11"/>
      <c r="AE48" s="7" t="e">
        <f>(#REF!-AD59)^2*#REF!</f>
        <v>#REF!</v>
      </c>
      <c r="AO48" s="11"/>
      <c r="AP48" s="7">
        <f>(Z48-AO59)^2*AA48</f>
        <v>0</v>
      </c>
    </row>
    <row r="49" spans="1:42" s="7" customFormat="1" hidden="1" x14ac:dyDescent="0.2">
      <c r="A49" s="10">
        <v>6</v>
      </c>
      <c r="B49" s="8">
        <f t="shared" si="0"/>
        <v>0</v>
      </c>
      <c r="C49" s="11" t="e">
        <f>#REF!*#REF!</f>
        <v>#REF!</v>
      </c>
      <c r="D49" s="7" t="e">
        <f>(#REF!-C59)^2*#REF!</f>
        <v>#REF!</v>
      </c>
      <c r="Q49" s="15"/>
      <c r="R49" s="15"/>
      <c r="S49" s="11"/>
      <c r="AD49" s="11"/>
      <c r="AE49" s="7" t="e">
        <f>(#REF!-AD59)^2*#REF!</f>
        <v>#REF!</v>
      </c>
      <c r="AO49" s="11"/>
      <c r="AP49" s="7">
        <f>(Z49-AO59)^2*AA49</f>
        <v>0</v>
      </c>
    </row>
    <row r="50" spans="1:42" s="7" customFormat="1" hidden="1" x14ac:dyDescent="0.2">
      <c r="A50" s="10">
        <v>4.5</v>
      </c>
      <c r="B50" s="8">
        <f t="shared" si="0"/>
        <v>0</v>
      </c>
      <c r="C50" s="11" t="e">
        <f>#REF!*#REF!</f>
        <v>#REF!</v>
      </c>
      <c r="D50" s="7" t="e">
        <f>(#REF!-C59)^2*#REF!</f>
        <v>#REF!</v>
      </c>
      <c r="Q50" s="15"/>
      <c r="R50" s="15"/>
      <c r="S50" s="11"/>
      <c r="AD50" s="11"/>
      <c r="AE50" s="7" t="e">
        <f>(#REF!-AD59)^2*#REF!</f>
        <v>#REF!</v>
      </c>
      <c r="AO50" s="11"/>
      <c r="AP50" s="7">
        <f>(Z50-AO59)^2*AA50</f>
        <v>0</v>
      </c>
    </row>
    <row r="51" spans="1:42" s="7" customFormat="1" hidden="1" x14ac:dyDescent="0.2">
      <c r="A51" s="10">
        <v>3</v>
      </c>
      <c r="B51" s="8">
        <f t="shared" si="0"/>
        <v>0</v>
      </c>
      <c r="C51" s="11" t="e">
        <f>#REF!*#REF!</f>
        <v>#REF!</v>
      </c>
      <c r="D51" s="7" t="e">
        <f>(#REF!-C59)^2*#REF!</f>
        <v>#REF!</v>
      </c>
      <c r="Q51" s="15"/>
      <c r="R51" s="15"/>
      <c r="S51" s="11"/>
      <c r="AD51" s="11"/>
      <c r="AE51" s="7" t="e">
        <f>(#REF!-AD59)^2*#REF!</f>
        <v>#REF!</v>
      </c>
      <c r="AO51" s="11"/>
      <c r="AP51" s="7">
        <f>(Z51-AO59)^2*AA51</f>
        <v>0</v>
      </c>
    </row>
    <row r="52" spans="1:42" s="7" customFormat="1" hidden="1" x14ac:dyDescent="0.2">
      <c r="A52" s="10">
        <v>1.5</v>
      </c>
      <c r="B52" s="8">
        <f t="shared" si="0"/>
        <v>0</v>
      </c>
      <c r="C52" s="11" t="e">
        <f>#REF!*#REF!</f>
        <v>#REF!</v>
      </c>
      <c r="D52" s="7" t="e">
        <f>(#REF!-C59)^2*#REF!</f>
        <v>#REF!</v>
      </c>
      <c r="Q52" s="15"/>
      <c r="R52" s="15"/>
      <c r="S52" s="11"/>
      <c r="AD52" s="11"/>
      <c r="AE52" s="7" t="e">
        <f>(#REF!-AD59)^2*#REF!</f>
        <v>#REF!</v>
      </c>
      <c r="AO52" s="11"/>
      <c r="AP52" s="7">
        <f>(Z52-AO59)^2*AA52</f>
        <v>0</v>
      </c>
    </row>
    <row r="53" spans="1:42" s="7" customFormat="1" hidden="1" x14ac:dyDescent="0.2">
      <c r="A53" s="10">
        <v>0</v>
      </c>
      <c r="B53" s="8">
        <f t="shared" si="0"/>
        <v>0</v>
      </c>
      <c r="C53" s="11" t="e">
        <f>#REF!*#REF!</f>
        <v>#REF!</v>
      </c>
      <c r="D53" s="7" t="e">
        <f>(#REF!-C59)^2*#REF!</f>
        <v>#REF!</v>
      </c>
      <c r="Q53" s="15"/>
      <c r="R53" s="15"/>
      <c r="S53" s="11"/>
      <c r="AD53" s="11"/>
      <c r="AE53" s="7" t="e">
        <f>(#REF!-AD59)^2*#REF!</f>
        <v>#REF!</v>
      </c>
      <c r="AO53" s="11"/>
      <c r="AP53" s="7">
        <f>(Z53-AO59)^2*AA53</f>
        <v>0</v>
      </c>
    </row>
    <row r="54" spans="1:42" s="7" customFormat="1" hidden="1" x14ac:dyDescent="0.2">
      <c r="A54" s="10">
        <v>-1.5</v>
      </c>
      <c r="B54" s="8">
        <f t="shared" si="0"/>
        <v>0</v>
      </c>
      <c r="C54" s="11" t="e">
        <f>#REF!*#REF!</f>
        <v>#REF!</v>
      </c>
      <c r="D54" s="7" t="e">
        <f>(#REF!-C59)^2*#REF!</f>
        <v>#REF!</v>
      </c>
      <c r="Q54" s="15"/>
      <c r="R54" s="15"/>
      <c r="S54" s="11"/>
      <c r="AD54" s="11"/>
      <c r="AE54" s="7" t="e">
        <f>(#REF!-AD59)^2*#REF!</f>
        <v>#REF!</v>
      </c>
      <c r="AO54" s="11"/>
      <c r="AP54" s="7">
        <f>(Z54-AO59)^2*AA54</f>
        <v>0</v>
      </c>
    </row>
    <row r="55" spans="1:42" s="7" customFormat="1" hidden="1" x14ac:dyDescent="0.2">
      <c r="A55" s="10">
        <v>-3</v>
      </c>
      <c r="B55" s="8">
        <f t="shared" si="0"/>
        <v>0</v>
      </c>
      <c r="C55" s="11" t="e">
        <f>#REF!*#REF!</f>
        <v>#REF!</v>
      </c>
      <c r="D55" s="7" t="e">
        <f>(#REF!-C59)^2*#REF!</f>
        <v>#REF!</v>
      </c>
      <c r="Q55" s="15"/>
      <c r="R55" s="15"/>
      <c r="S55" s="11"/>
      <c r="AD55" s="11"/>
      <c r="AE55" s="7" t="e">
        <f>(#REF!-AD59)^2*#REF!</f>
        <v>#REF!</v>
      </c>
      <c r="AO55" s="11"/>
      <c r="AP55" s="7">
        <f>(Z55-AO59)^2*AA55</f>
        <v>0</v>
      </c>
    </row>
    <row r="56" spans="1:42" s="7" customFormat="1" hidden="1" x14ac:dyDescent="0.2">
      <c r="A56" s="10">
        <v>-4.5</v>
      </c>
      <c r="B56" s="8">
        <f t="shared" si="0"/>
        <v>0</v>
      </c>
      <c r="C56" s="11" t="e">
        <f>#REF!*#REF!</f>
        <v>#REF!</v>
      </c>
      <c r="D56" s="7" t="e">
        <f>(#REF!-C59)^2*#REF!</f>
        <v>#REF!</v>
      </c>
      <c r="Q56" s="15"/>
      <c r="R56" s="15"/>
      <c r="S56" s="11"/>
      <c r="AD56" s="11"/>
      <c r="AE56" s="7" t="e">
        <f>(#REF!-AD59)^2*#REF!</f>
        <v>#REF!</v>
      </c>
      <c r="AO56" s="11"/>
      <c r="AP56" s="7">
        <f>(Z56-AO59)^2*AA56</f>
        <v>0</v>
      </c>
    </row>
    <row r="57" spans="1:42" s="7" customFormat="1" hidden="1" x14ac:dyDescent="0.2">
      <c r="A57" s="10">
        <v>-6</v>
      </c>
      <c r="B57" s="8">
        <f t="shared" si="0"/>
        <v>0</v>
      </c>
      <c r="C57" s="11" t="e">
        <f>#REF!*#REF!</f>
        <v>#REF!</v>
      </c>
      <c r="D57" s="7" t="e">
        <f>(#REF!-C59)^2*#REF!</f>
        <v>#REF!</v>
      </c>
      <c r="Q57" s="15"/>
      <c r="R57" s="15"/>
      <c r="S57" s="11"/>
      <c r="AD57" s="11"/>
      <c r="AE57" s="7" t="e">
        <f>(#REF!-AD59)^2*#REF!</f>
        <v>#REF!</v>
      </c>
      <c r="AO57" s="11"/>
      <c r="AP57" s="7">
        <f>(Z57-AO59)^2*AA57</f>
        <v>0</v>
      </c>
    </row>
    <row r="58" spans="1:42" s="7" customFormat="1" hidden="1" x14ac:dyDescent="0.2">
      <c r="A58" s="10">
        <v>-7.5</v>
      </c>
      <c r="B58" s="8">
        <f t="shared" si="0"/>
        <v>0</v>
      </c>
      <c r="C58" s="11" t="e">
        <f>#REF!*#REF!</f>
        <v>#REF!</v>
      </c>
      <c r="D58" s="7" t="e">
        <f>(#REF!-C59)^2*#REF!</f>
        <v>#REF!</v>
      </c>
      <c r="Q58" s="15"/>
      <c r="R58" s="15"/>
      <c r="S58" s="11"/>
      <c r="AD58" s="11"/>
      <c r="AE58" s="7" t="e">
        <f>(#REF!-AD59)^2*#REF!</f>
        <v>#REF!</v>
      </c>
      <c r="AO58" s="11"/>
      <c r="AP58" s="7">
        <f>(Z58-AO59)^2*AA58</f>
        <v>0</v>
      </c>
    </row>
    <row r="59" spans="1:42" s="7" customFormat="1" hidden="1" x14ac:dyDescent="0.2">
      <c r="A59" s="41" t="s">
        <v>7</v>
      </c>
      <c r="B59" s="42"/>
      <c r="C59" s="11" t="e">
        <f>SUM(C48:C58)/SUM(#REF!)</f>
        <v>#REF!</v>
      </c>
      <c r="Q59" s="16"/>
      <c r="R59" s="16"/>
      <c r="S59" s="11"/>
      <c r="AD59" s="11"/>
      <c r="AO59" s="11"/>
    </row>
    <row r="60" spans="1:42" s="7" customFormat="1" ht="13.5" thickBot="1" x14ac:dyDescent="0.25">
      <c r="A60" s="44" t="s">
        <v>8</v>
      </c>
      <c r="B60" s="45"/>
      <c r="C60" s="12" t="e">
        <f>(SUM(D62:D72)/SUM(#REF!))^(0.5)</f>
        <v>#REF!</v>
      </c>
      <c r="Q60" s="17"/>
      <c r="R60" s="17"/>
      <c r="S60" s="12"/>
      <c r="AD60" s="12"/>
      <c r="AO60" s="12"/>
    </row>
    <row r="61" spans="1:42" s="7" customFormat="1" hidden="1" x14ac:dyDescent="0.2">
      <c r="A61" s="7" t="s">
        <v>3</v>
      </c>
      <c r="B61" s="7" t="s">
        <v>4</v>
      </c>
      <c r="C61" s="7" t="s">
        <v>5</v>
      </c>
      <c r="D61" s="7" t="s">
        <v>6</v>
      </c>
      <c r="S61" s="7" t="s">
        <v>5</v>
      </c>
      <c r="T61" s="7" t="s">
        <v>6</v>
      </c>
      <c r="AD61" s="7" t="s">
        <v>5</v>
      </c>
      <c r="AE61" s="7" t="s">
        <v>6</v>
      </c>
      <c r="AO61" s="7" t="s">
        <v>5</v>
      </c>
      <c r="AP61" s="7" t="s">
        <v>6</v>
      </c>
    </row>
    <row r="62" spans="1:42" s="7" customFormat="1" hidden="1" x14ac:dyDescent="0.2">
      <c r="A62" s="7">
        <v>-7.5</v>
      </c>
      <c r="B62" s="7">
        <f>SUM(S3:S13)</f>
        <v>0</v>
      </c>
      <c r="C62" s="7" t="e">
        <f>#REF!*#REF!</f>
        <v>#REF!</v>
      </c>
      <c r="D62" s="7" t="e">
        <f>(#REF!-C73)^2*#REF!</f>
        <v>#REF!</v>
      </c>
      <c r="S62" s="7">
        <f t="shared" ref="S62:S72" si="1">B62*A62</f>
        <v>0</v>
      </c>
      <c r="T62" s="7" t="e">
        <f>(A62-S73)^2*B62</f>
        <v>#DIV/0!</v>
      </c>
      <c r="AD62" s="7" t="e">
        <f t="shared" ref="AD62:AD72" si="2">#REF!*#REF!</f>
        <v>#REF!</v>
      </c>
      <c r="AE62" s="7" t="e">
        <f>(#REF!-AD73)^2*#REF!</f>
        <v>#REF!</v>
      </c>
      <c r="AO62" s="7">
        <f t="shared" ref="AO62:AO72" si="3">AA62*Z62</f>
        <v>0</v>
      </c>
      <c r="AP62" s="7" t="e">
        <f>(Z62-AO73)^2*AA62</f>
        <v>#DIV/0!</v>
      </c>
    </row>
    <row r="63" spans="1:42" s="7" customFormat="1" hidden="1" x14ac:dyDescent="0.2">
      <c r="A63" s="7">
        <v>-6</v>
      </c>
      <c r="B63" s="7">
        <f>SUM(T3:T13)</f>
        <v>0</v>
      </c>
      <c r="C63" s="7" t="e">
        <f>#REF!*#REF!</f>
        <v>#REF!</v>
      </c>
      <c r="D63" s="7" t="e">
        <f>(#REF!-C73)^2*#REF!</f>
        <v>#REF!</v>
      </c>
      <c r="S63" s="7">
        <f t="shared" si="1"/>
        <v>0</v>
      </c>
      <c r="T63" s="7" t="e">
        <f>(A63-S73)^2*B63</f>
        <v>#DIV/0!</v>
      </c>
      <c r="AD63" s="7" t="e">
        <f t="shared" si="2"/>
        <v>#REF!</v>
      </c>
      <c r="AE63" s="7" t="e">
        <f>(#REF!-AD73)^2*#REF!</f>
        <v>#REF!</v>
      </c>
      <c r="AO63" s="7">
        <f t="shared" si="3"/>
        <v>0</v>
      </c>
      <c r="AP63" s="7" t="e">
        <f>(Z63-AO73)^2*AA63</f>
        <v>#DIV/0!</v>
      </c>
    </row>
    <row r="64" spans="1:42" s="7" customFormat="1" hidden="1" x14ac:dyDescent="0.2">
      <c r="A64" s="7">
        <v>-4.5</v>
      </c>
      <c r="B64" s="7">
        <f>SUM(U3:U13)</f>
        <v>0</v>
      </c>
      <c r="C64" s="7" t="e">
        <f>#REF!*#REF!</f>
        <v>#REF!</v>
      </c>
      <c r="D64" s="7" t="e">
        <f>(#REF!-C73)^2*#REF!</f>
        <v>#REF!</v>
      </c>
      <c r="S64" s="7">
        <f t="shared" si="1"/>
        <v>0</v>
      </c>
      <c r="T64" s="7" t="e">
        <f>(A64-S73)^2*B64</f>
        <v>#DIV/0!</v>
      </c>
      <c r="AD64" s="7" t="e">
        <f t="shared" si="2"/>
        <v>#REF!</v>
      </c>
      <c r="AE64" s="7" t="e">
        <f>(#REF!-AD73)^2*#REF!</f>
        <v>#REF!</v>
      </c>
      <c r="AO64" s="7">
        <f t="shared" si="3"/>
        <v>0</v>
      </c>
      <c r="AP64" s="7" t="e">
        <f>(Z64-AO73)^2*AA64</f>
        <v>#DIV/0!</v>
      </c>
    </row>
    <row r="65" spans="1:42" s="7" customFormat="1" hidden="1" x14ac:dyDescent="0.2">
      <c r="A65" s="7">
        <v>-3</v>
      </c>
      <c r="B65" s="7">
        <f>SUM(V3:V13)</f>
        <v>0</v>
      </c>
      <c r="C65" s="7" t="e">
        <f>#REF!*#REF!</f>
        <v>#REF!</v>
      </c>
      <c r="D65" s="7" t="e">
        <f>(#REF!-C73)^2*#REF!</f>
        <v>#REF!</v>
      </c>
      <c r="S65" s="7">
        <f t="shared" si="1"/>
        <v>0</v>
      </c>
      <c r="T65" s="7" t="e">
        <f>(A65-S73)^2*B65</f>
        <v>#DIV/0!</v>
      </c>
      <c r="AD65" s="7" t="e">
        <f t="shared" si="2"/>
        <v>#REF!</v>
      </c>
      <c r="AE65" s="7" t="e">
        <f>(#REF!-AD73)^2*#REF!</f>
        <v>#REF!</v>
      </c>
      <c r="AO65" s="7">
        <f t="shared" si="3"/>
        <v>0</v>
      </c>
      <c r="AP65" s="7" t="e">
        <f>(Z65-AO73)^2*AA65</f>
        <v>#DIV/0!</v>
      </c>
    </row>
    <row r="66" spans="1:42" s="7" customFormat="1" hidden="1" x14ac:dyDescent="0.2">
      <c r="A66" s="7">
        <v>-1.5</v>
      </c>
      <c r="B66" s="7">
        <f>SUM(W3:W13)</f>
        <v>0</v>
      </c>
      <c r="C66" s="7" t="e">
        <f>#REF!*#REF!</f>
        <v>#REF!</v>
      </c>
      <c r="D66" s="7" t="e">
        <f>(#REF!-C73)^2*#REF!</f>
        <v>#REF!</v>
      </c>
      <c r="S66" s="7">
        <f t="shared" si="1"/>
        <v>0</v>
      </c>
      <c r="T66" s="7" t="e">
        <f>(A66-S73)^2*B66</f>
        <v>#DIV/0!</v>
      </c>
      <c r="AD66" s="7" t="e">
        <f t="shared" si="2"/>
        <v>#REF!</v>
      </c>
      <c r="AE66" s="7" t="e">
        <f>(#REF!-AD73)^2*#REF!</f>
        <v>#REF!</v>
      </c>
      <c r="AO66" s="7">
        <f t="shared" si="3"/>
        <v>0</v>
      </c>
      <c r="AP66" s="7" t="e">
        <f>(Z66-AO73)^2*AA66</f>
        <v>#DIV/0!</v>
      </c>
    </row>
    <row r="67" spans="1:42" s="7" customFormat="1" hidden="1" x14ac:dyDescent="0.2">
      <c r="A67" s="7">
        <v>0</v>
      </c>
      <c r="B67" s="7">
        <f>SUM(X3:X13)</f>
        <v>0</v>
      </c>
      <c r="C67" s="7" t="e">
        <f>#REF!*#REF!</f>
        <v>#REF!</v>
      </c>
      <c r="D67" s="7" t="e">
        <f>(#REF!-C73)^2*#REF!</f>
        <v>#REF!</v>
      </c>
      <c r="S67" s="7">
        <f t="shared" si="1"/>
        <v>0</v>
      </c>
      <c r="T67" s="7" t="e">
        <f>(A67-S73)^2*B67</f>
        <v>#DIV/0!</v>
      </c>
      <c r="AD67" s="7" t="e">
        <f t="shared" si="2"/>
        <v>#REF!</v>
      </c>
      <c r="AE67" s="7" t="e">
        <f>(#REF!-AD73)^2*#REF!</f>
        <v>#REF!</v>
      </c>
      <c r="AO67" s="7">
        <f t="shared" si="3"/>
        <v>0</v>
      </c>
      <c r="AP67" s="7" t="e">
        <f>(Z67-AO73)^2*AA67</f>
        <v>#DIV/0!</v>
      </c>
    </row>
    <row r="68" spans="1:42" s="7" customFormat="1" hidden="1" x14ac:dyDescent="0.2">
      <c r="A68" s="7">
        <v>1.5</v>
      </c>
      <c r="B68" s="7">
        <f>SUM(Y3:Y13)</f>
        <v>0</v>
      </c>
      <c r="C68" s="7" t="e">
        <f>#REF!*#REF!</f>
        <v>#REF!</v>
      </c>
      <c r="D68" s="7" t="e">
        <f>(#REF!-C73)^2*#REF!</f>
        <v>#REF!</v>
      </c>
      <c r="S68" s="7">
        <f t="shared" si="1"/>
        <v>0</v>
      </c>
      <c r="T68" s="7" t="e">
        <f>(A68-S73)^2*B68</f>
        <v>#DIV/0!</v>
      </c>
      <c r="AD68" s="7" t="e">
        <f t="shared" si="2"/>
        <v>#REF!</v>
      </c>
      <c r="AE68" s="7" t="e">
        <f>(#REF!-AD73)^2*#REF!</f>
        <v>#REF!</v>
      </c>
      <c r="AO68" s="7">
        <f t="shared" si="3"/>
        <v>0</v>
      </c>
      <c r="AP68" s="7" t="e">
        <f>(Z68-AO73)^2*AA68</f>
        <v>#DIV/0!</v>
      </c>
    </row>
    <row r="69" spans="1:42" s="7" customFormat="1" hidden="1" x14ac:dyDescent="0.2">
      <c r="A69" s="7">
        <v>3</v>
      </c>
      <c r="B69" s="7">
        <f>SUM(Z3:Z13)</f>
        <v>0</v>
      </c>
      <c r="C69" s="7" t="e">
        <f>#REF!*#REF!</f>
        <v>#REF!</v>
      </c>
      <c r="D69" s="7" t="e">
        <f>(#REF!-C73)^2*#REF!</f>
        <v>#REF!</v>
      </c>
      <c r="S69" s="7">
        <f t="shared" si="1"/>
        <v>0</v>
      </c>
      <c r="T69" s="7" t="e">
        <f>(A69-S73)^2*B69</f>
        <v>#DIV/0!</v>
      </c>
      <c r="AD69" s="7" t="e">
        <f t="shared" si="2"/>
        <v>#REF!</v>
      </c>
      <c r="AE69" s="7" t="e">
        <f>(#REF!-AD73)^2*#REF!</f>
        <v>#REF!</v>
      </c>
      <c r="AO69" s="7">
        <f t="shared" si="3"/>
        <v>0</v>
      </c>
      <c r="AP69" s="7" t="e">
        <f>(Z69-AO73)^2*AA69</f>
        <v>#DIV/0!</v>
      </c>
    </row>
    <row r="70" spans="1:42" s="7" customFormat="1" hidden="1" x14ac:dyDescent="0.2">
      <c r="A70" s="7">
        <v>4.5</v>
      </c>
      <c r="B70" s="7">
        <f>SUM(AA3:AA13)</f>
        <v>0</v>
      </c>
      <c r="C70" s="7" t="e">
        <f>#REF!*#REF!</f>
        <v>#REF!</v>
      </c>
      <c r="D70" s="7" t="e">
        <f>(#REF!-C73)^2*#REF!</f>
        <v>#REF!</v>
      </c>
      <c r="S70" s="7">
        <f t="shared" si="1"/>
        <v>0</v>
      </c>
      <c r="T70" s="7" t="e">
        <f>(A70-S73)^2*B70</f>
        <v>#DIV/0!</v>
      </c>
      <c r="AD70" s="7" t="e">
        <f t="shared" si="2"/>
        <v>#REF!</v>
      </c>
      <c r="AE70" s="7" t="e">
        <f>(#REF!-AD73)^2*#REF!</f>
        <v>#REF!</v>
      </c>
      <c r="AO70" s="7">
        <f t="shared" si="3"/>
        <v>0</v>
      </c>
      <c r="AP70" s="7" t="e">
        <f>(Z70-AO73)^2*AA70</f>
        <v>#DIV/0!</v>
      </c>
    </row>
    <row r="71" spans="1:42" s="7" customFormat="1" hidden="1" x14ac:dyDescent="0.2">
      <c r="A71" s="7">
        <v>6</v>
      </c>
      <c r="B71" s="7">
        <f>SUM(AB3:AB13)</f>
        <v>0</v>
      </c>
      <c r="C71" s="7" t="e">
        <f>#REF!*#REF!</f>
        <v>#REF!</v>
      </c>
      <c r="D71" s="7" t="e">
        <f>(#REF!-C73)^2*#REF!</f>
        <v>#REF!</v>
      </c>
      <c r="S71" s="7">
        <f t="shared" si="1"/>
        <v>0</v>
      </c>
      <c r="T71" s="7" t="e">
        <f>(A71-S73)^2*B71</f>
        <v>#DIV/0!</v>
      </c>
      <c r="AD71" s="7" t="e">
        <f t="shared" si="2"/>
        <v>#REF!</v>
      </c>
      <c r="AE71" s="7" t="e">
        <f>(#REF!-AD73)^2*#REF!</f>
        <v>#REF!</v>
      </c>
      <c r="AO71" s="7">
        <f t="shared" si="3"/>
        <v>0</v>
      </c>
      <c r="AP71" s="7" t="e">
        <f>(Z71-AO73)^2*AA71</f>
        <v>#DIV/0!</v>
      </c>
    </row>
    <row r="72" spans="1:42" s="7" customFormat="1" hidden="1" x14ac:dyDescent="0.2">
      <c r="A72" s="7">
        <v>7.5</v>
      </c>
      <c r="B72" s="7">
        <f>SUM(AC3:AC13)</f>
        <v>0</v>
      </c>
      <c r="C72" s="7" t="e">
        <f>#REF!*#REF!</f>
        <v>#REF!</v>
      </c>
      <c r="D72" s="7" t="e">
        <f>(#REF!-C73)^2*#REF!</f>
        <v>#REF!</v>
      </c>
      <c r="S72" s="7">
        <f t="shared" si="1"/>
        <v>0</v>
      </c>
      <c r="T72" s="7" t="e">
        <f>(A72-S73)^2*B72</f>
        <v>#DIV/0!</v>
      </c>
      <c r="AD72" s="7" t="e">
        <f t="shared" si="2"/>
        <v>#REF!</v>
      </c>
      <c r="AE72" s="7" t="e">
        <f>(#REF!-AD73)^2*#REF!</f>
        <v>#REF!</v>
      </c>
      <c r="AO72" s="7">
        <f t="shared" si="3"/>
        <v>0</v>
      </c>
      <c r="AP72" s="7" t="e">
        <f>(Z72-AO73)^2*AA72</f>
        <v>#DIV/0!</v>
      </c>
    </row>
    <row r="73" spans="1:42" s="7" customFormat="1" hidden="1" x14ac:dyDescent="0.2">
      <c r="A73" s="43" t="s">
        <v>7</v>
      </c>
      <c r="B73" s="43"/>
      <c r="C73" s="7" t="e">
        <f>SUM(C62:C72)/SUM(#REF!)</f>
        <v>#REF!</v>
      </c>
      <c r="Q73" s="13"/>
      <c r="R73" s="13"/>
      <c r="S73" s="7" t="e">
        <f>SUM(S62:S72)/SUM(B62:B72)</f>
        <v>#DIV/0!</v>
      </c>
      <c r="AD73" s="7" t="e">
        <f>SUM(AD62:AD72)/SUM(#REF!)</f>
        <v>#REF!</v>
      </c>
      <c r="AO73" s="7" t="e">
        <f>SUM(AO62:AO72)/SUM(AA62:AA72)</f>
        <v>#DIV/0!</v>
      </c>
    </row>
    <row r="74" spans="1:42" s="7" customFormat="1" x14ac:dyDescent="0.2"/>
    <row r="75" spans="1:42" s="7" customFormat="1" x14ac:dyDescent="0.2"/>
    <row r="76" spans="1:42" s="7" customFormat="1" x14ac:dyDescent="0.2"/>
    <row r="77" spans="1:42" s="7" customFormat="1" x14ac:dyDescent="0.2"/>
    <row r="78" spans="1:42" s="7" customFormat="1" x14ac:dyDescent="0.2"/>
    <row r="79" spans="1:42" s="7" customFormat="1" x14ac:dyDescent="0.2"/>
    <row r="80" spans="1:42" s="7" customFormat="1" x14ac:dyDescent="0.2"/>
    <row r="81" spans="44:51" s="7" customFormat="1" x14ac:dyDescent="0.2"/>
    <row r="82" spans="44:51" s="7" customFormat="1" x14ac:dyDescent="0.2"/>
    <row r="83" spans="44:51" s="7" customFormat="1" x14ac:dyDescent="0.2"/>
    <row r="84" spans="44:51" s="7" customFormat="1" x14ac:dyDescent="0.2"/>
    <row r="85" spans="44:51" s="7" customFormat="1" x14ac:dyDescent="0.2"/>
    <row r="86" spans="44:51" s="7" customFormat="1" x14ac:dyDescent="0.2"/>
    <row r="87" spans="44:51" s="7" customFormat="1" x14ac:dyDescent="0.2"/>
    <row r="88" spans="44:51" s="7" customFormat="1" x14ac:dyDescent="0.2"/>
    <row r="89" spans="44:51" s="7" customFormat="1" x14ac:dyDescent="0.2"/>
    <row r="90" spans="44:51" s="7" customFormat="1" x14ac:dyDescent="0.2"/>
    <row r="91" spans="44:51" s="6" customFormat="1" x14ac:dyDescent="0.2">
      <c r="AR91" s="7"/>
      <c r="AS91" s="7"/>
      <c r="AT91" s="7"/>
      <c r="AU91" s="7"/>
      <c r="AV91" s="7"/>
      <c r="AW91" s="7"/>
      <c r="AX91" s="7"/>
      <c r="AY91" s="7"/>
    </row>
    <row r="92" spans="44:51" s="6" customFormat="1" x14ac:dyDescent="0.2">
      <c r="AR92" s="7"/>
      <c r="AS92" s="7"/>
      <c r="AT92" s="7"/>
      <c r="AU92" s="7"/>
      <c r="AV92" s="7"/>
      <c r="AW92" s="7"/>
      <c r="AX92" s="7"/>
      <c r="AY92" s="7"/>
    </row>
    <row r="93" spans="44:51" s="6" customFormat="1" x14ac:dyDescent="0.2">
      <c r="AR93" s="7"/>
      <c r="AS93" s="7"/>
      <c r="AT93" s="7"/>
      <c r="AU93" s="7"/>
      <c r="AV93" s="7"/>
      <c r="AW93" s="7"/>
      <c r="AX93" s="7"/>
      <c r="AY93" s="7"/>
    </row>
    <row r="94" spans="44:51" s="6" customFormat="1" x14ac:dyDescent="0.2">
      <c r="AR94" s="7"/>
      <c r="AS94" s="7"/>
      <c r="AT94" s="7"/>
      <c r="AU94" s="7"/>
      <c r="AV94" s="7"/>
      <c r="AW94" s="7"/>
      <c r="AX94" s="7"/>
      <c r="AY94" s="7"/>
    </row>
    <row r="95" spans="44:51" s="6" customFormat="1" x14ac:dyDescent="0.2">
      <c r="AR95" s="7"/>
      <c r="AS95" s="7"/>
      <c r="AT95" s="7"/>
      <c r="AU95" s="7"/>
      <c r="AV95" s="7"/>
      <c r="AW95" s="7"/>
      <c r="AX95" s="7"/>
      <c r="AY95" s="7"/>
    </row>
    <row r="96" spans="44:51" s="6" customFormat="1" x14ac:dyDescent="0.2">
      <c r="AR96" s="7"/>
      <c r="AS96" s="7"/>
      <c r="AT96" s="7"/>
      <c r="AU96" s="7"/>
      <c r="AV96" s="7"/>
      <c r="AW96" s="7"/>
      <c r="AX96" s="7"/>
      <c r="AY96" s="7"/>
    </row>
    <row r="97" spans="44:51" s="6" customFormat="1" x14ac:dyDescent="0.2">
      <c r="AR97" s="7"/>
      <c r="AS97" s="7"/>
      <c r="AT97" s="7"/>
      <c r="AU97" s="7"/>
      <c r="AV97" s="7"/>
      <c r="AW97" s="7"/>
      <c r="AX97" s="7"/>
      <c r="AY97" s="7"/>
    </row>
    <row r="98" spans="44:51" s="6" customFormat="1" x14ac:dyDescent="0.2">
      <c r="AR98" s="7"/>
      <c r="AS98" s="7"/>
      <c r="AT98" s="7"/>
      <c r="AU98" s="7"/>
      <c r="AV98" s="7"/>
      <c r="AW98" s="7"/>
      <c r="AX98" s="7"/>
      <c r="AY98" s="7"/>
    </row>
    <row r="99" spans="44:51" s="6" customFormat="1" x14ac:dyDescent="0.2">
      <c r="AR99" s="7"/>
      <c r="AS99" s="7"/>
      <c r="AT99" s="7"/>
      <c r="AU99" s="7"/>
      <c r="AV99" s="7"/>
      <c r="AW99" s="7"/>
      <c r="AX99" s="7"/>
      <c r="AY99" s="7"/>
    </row>
    <row r="100" spans="44:51" s="6" customFormat="1" x14ac:dyDescent="0.2">
      <c r="AR100" s="7"/>
      <c r="AS100" s="7"/>
      <c r="AT100" s="7"/>
      <c r="AU100" s="7"/>
      <c r="AV100" s="7"/>
      <c r="AW100" s="7"/>
      <c r="AX100" s="7"/>
      <c r="AY100" s="7"/>
    </row>
    <row r="101" spans="44:51" s="6" customFormat="1" x14ac:dyDescent="0.2">
      <c r="AR101" s="7"/>
      <c r="AS101" s="7"/>
      <c r="AT101" s="7"/>
      <c r="AU101" s="7"/>
      <c r="AV101" s="7"/>
      <c r="AW101" s="7"/>
      <c r="AX101" s="7"/>
      <c r="AY101" s="7"/>
    </row>
    <row r="102" spans="44:51" s="6" customFormat="1" x14ac:dyDescent="0.2">
      <c r="AR102" s="7"/>
      <c r="AS102" s="7"/>
      <c r="AT102" s="7"/>
      <c r="AU102" s="7"/>
      <c r="AV102" s="7"/>
      <c r="AW102" s="7"/>
      <c r="AX102" s="7"/>
      <c r="AY102" s="7"/>
    </row>
    <row r="103" spans="44:51" s="6" customFormat="1" x14ac:dyDescent="0.2">
      <c r="AR103" s="7"/>
      <c r="AS103" s="7"/>
      <c r="AT103" s="7"/>
      <c r="AU103" s="7"/>
      <c r="AV103" s="7"/>
      <c r="AW103" s="7"/>
      <c r="AX103" s="7"/>
      <c r="AY103" s="7"/>
    </row>
    <row r="104" spans="44:51" s="6" customFormat="1" x14ac:dyDescent="0.2">
      <c r="AR104" s="7"/>
      <c r="AS104" s="7"/>
      <c r="AT104" s="7"/>
      <c r="AU104" s="7"/>
      <c r="AV104" s="7"/>
      <c r="AW104" s="7"/>
      <c r="AX104" s="7"/>
      <c r="AY104" s="7"/>
    </row>
    <row r="105" spans="44:51" s="6" customFormat="1" x14ac:dyDescent="0.2">
      <c r="AR105" s="7"/>
      <c r="AS105" s="7"/>
      <c r="AT105" s="7"/>
      <c r="AU105" s="7"/>
      <c r="AV105" s="7"/>
      <c r="AW105" s="7"/>
      <c r="AX105" s="7"/>
      <c r="AY105" s="7"/>
    </row>
    <row r="106" spans="44:51" s="6" customFormat="1" x14ac:dyDescent="0.2">
      <c r="AR106" s="7"/>
      <c r="AS106" s="7"/>
      <c r="AT106" s="7"/>
      <c r="AU106" s="7"/>
      <c r="AV106" s="7"/>
      <c r="AW106" s="7"/>
      <c r="AX106" s="7"/>
      <c r="AY106" s="7"/>
    </row>
    <row r="107" spans="44:51" s="6" customFormat="1" x14ac:dyDescent="0.2">
      <c r="AR107" s="7"/>
      <c r="AS107" s="7"/>
      <c r="AT107" s="7"/>
      <c r="AU107" s="7"/>
      <c r="AV107" s="7"/>
      <c r="AW107" s="7"/>
      <c r="AX107" s="7"/>
      <c r="AY107" s="7"/>
    </row>
    <row r="108" spans="44:51" s="6" customFormat="1" x14ac:dyDescent="0.2">
      <c r="AR108" s="7"/>
      <c r="AS108" s="7"/>
      <c r="AT108" s="7"/>
      <c r="AU108" s="7"/>
      <c r="AV108" s="7"/>
      <c r="AW108" s="7"/>
      <c r="AX108" s="7"/>
      <c r="AY108" s="7"/>
    </row>
    <row r="109" spans="44:51" s="6" customFormat="1" x14ac:dyDescent="0.2">
      <c r="AR109" s="7"/>
      <c r="AS109" s="7"/>
      <c r="AT109" s="7"/>
      <c r="AU109" s="7"/>
      <c r="AV109" s="7"/>
      <c r="AW109" s="7"/>
      <c r="AX109" s="7"/>
      <c r="AY109" s="7"/>
    </row>
    <row r="110" spans="44:51" s="6" customFormat="1" x14ac:dyDescent="0.2">
      <c r="AR110" s="7"/>
      <c r="AS110" s="7"/>
      <c r="AT110" s="7"/>
      <c r="AU110" s="7"/>
      <c r="AV110" s="7"/>
      <c r="AW110" s="7"/>
      <c r="AX110" s="7"/>
      <c r="AY110" s="7"/>
    </row>
    <row r="111" spans="44:51" s="6" customFormat="1" x14ac:dyDescent="0.2">
      <c r="AR111" s="7"/>
      <c r="AS111" s="7"/>
      <c r="AT111" s="7"/>
      <c r="AU111" s="7"/>
      <c r="AV111" s="7"/>
      <c r="AW111" s="7"/>
      <c r="AX111" s="7"/>
      <c r="AY111" s="7"/>
    </row>
    <row r="112" spans="44:51" s="6" customFormat="1" x14ac:dyDescent="0.2">
      <c r="AR112" s="7"/>
      <c r="AS112" s="7"/>
      <c r="AT112" s="7"/>
      <c r="AU112" s="7"/>
      <c r="AV112" s="7"/>
      <c r="AW112" s="7"/>
      <c r="AX112" s="7"/>
      <c r="AY112" s="7"/>
    </row>
    <row r="113" spans="44:51" s="6" customFormat="1" x14ac:dyDescent="0.2">
      <c r="AR113" s="7"/>
      <c r="AS113" s="7"/>
      <c r="AT113" s="7"/>
      <c r="AU113" s="7"/>
      <c r="AV113" s="7"/>
      <c r="AW113" s="7"/>
      <c r="AX113" s="7"/>
      <c r="AY113" s="7"/>
    </row>
    <row r="114" spans="44:51" s="6" customFormat="1" x14ac:dyDescent="0.2">
      <c r="AR114" s="7"/>
      <c r="AS114" s="7"/>
      <c r="AT114" s="7"/>
      <c r="AU114" s="7"/>
      <c r="AV114" s="7"/>
      <c r="AW114" s="7"/>
      <c r="AX114" s="7"/>
      <c r="AY114" s="7"/>
    </row>
    <row r="115" spans="44:51" s="6" customFormat="1" x14ac:dyDescent="0.2">
      <c r="AR115" s="7"/>
      <c r="AS115" s="7"/>
      <c r="AT115" s="7"/>
      <c r="AU115" s="7"/>
      <c r="AV115" s="7"/>
      <c r="AW115" s="7"/>
      <c r="AX115" s="7"/>
      <c r="AY115" s="7"/>
    </row>
    <row r="116" spans="44:51" s="6" customFormat="1" x14ac:dyDescent="0.2">
      <c r="AR116" s="7"/>
      <c r="AS116" s="7"/>
      <c r="AT116" s="7"/>
      <c r="AU116" s="7"/>
      <c r="AV116" s="7"/>
      <c r="AW116" s="7"/>
      <c r="AX116" s="7"/>
      <c r="AY116" s="7"/>
    </row>
    <row r="117" spans="44:51" s="6" customFormat="1" x14ac:dyDescent="0.2">
      <c r="AR117" s="7"/>
      <c r="AS117" s="7"/>
      <c r="AT117" s="7"/>
      <c r="AU117" s="7"/>
      <c r="AV117" s="7"/>
      <c r="AW117" s="7"/>
      <c r="AX117" s="7"/>
      <c r="AY117" s="7"/>
    </row>
    <row r="118" spans="44:51" s="6" customFormat="1" x14ac:dyDescent="0.2">
      <c r="AR118" s="7"/>
      <c r="AS118" s="7"/>
      <c r="AT118" s="7"/>
      <c r="AU118" s="7"/>
      <c r="AV118" s="7"/>
      <c r="AW118" s="7"/>
      <c r="AX118" s="7"/>
      <c r="AY118" s="7"/>
    </row>
    <row r="119" spans="44:51" s="6" customFormat="1" x14ac:dyDescent="0.2">
      <c r="AR119" s="7"/>
      <c r="AS119" s="7"/>
      <c r="AT119" s="7"/>
      <c r="AU119" s="7"/>
      <c r="AV119" s="7"/>
      <c r="AW119" s="7"/>
      <c r="AX119" s="7"/>
      <c r="AY119" s="7"/>
    </row>
    <row r="120" spans="44:51" s="6" customFormat="1" x14ac:dyDescent="0.2">
      <c r="AR120" s="7"/>
      <c r="AS120" s="7"/>
      <c r="AT120" s="7"/>
      <c r="AU120" s="7"/>
      <c r="AV120" s="7"/>
      <c r="AW120" s="7"/>
      <c r="AX120" s="7"/>
      <c r="AY120" s="7"/>
    </row>
    <row r="121" spans="44:51" s="6" customFormat="1" x14ac:dyDescent="0.2">
      <c r="AR121" s="7"/>
      <c r="AS121" s="7"/>
      <c r="AT121" s="7"/>
      <c r="AU121" s="7"/>
      <c r="AV121" s="7"/>
      <c r="AW121" s="7"/>
      <c r="AX121" s="7"/>
      <c r="AY121" s="7"/>
    </row>
    <row r="122" spans="44:51" s="6" customFormat="1" x14ac:dyDescent="0.2">
      <c r="AR122" s="7"/>
      <c r="AS122" s="7"/>
      <c r="AT122" s="7"/>
      <c r="AU122" s="7"/>
      <c r="AV122" s="7"/>
      <c r="AW122" s="7"/>
      <c r="AX122" s="7"/>
      <c r="AY122" s="7"/>
    </row>
    <row r="123" spans="44:51" s="6" customFormat="1" x14ac:dyDescent="0.2">
      <c r="AR123" s="7"/>
      <c r="AS123" s="7"/>
      <c r="AT123" s="7"/>
      <c r="AU123" s="7"/>
      <c r="AV123" s="7"/>
      <c r="AW123" s="7"/>
      <c r="AX123" s="7"/>
      <c r="AY123" s="7"/>
    </row>
    <row r="124" spans="44:51" s="6" customFormat="1" x14ac:dyDescent="0.2">
      <c r="AR124" s="7"/>
      <c r="AS124" s="7"/>
      <c r="AT124" s="7"/>
      <c r="AU124" s="7"/>
      <c r="AV124" s="7"/>
      <c r="AW124" s="7"/>
      <c r="AX124" s="7"/>
      <c r="AY124" s="7"/>
    </row>
    <row r="125" spans="44:51" s="6" customFormat="1" x14ac:dyDescent="0.2">
      <c r="AR125" s="7"/>
      <c r="AS125" s="7"/>
      <c r="AT125" s="7"/>
      <c r="AU125" s="7"/>
      <c r="AV125" s="7"/>
      <c r="AW125" s="7"/>
      <c r="AX125" s="7"/>
      <c r="AY125" s="7"/>
    </row>
    <row r="126" spans="44:51" s="6" customFormat="1" x14ac:dyDescent="0.2">
      <c r="AR126" s="7"/>
      <c r="AS126" s="7"/>
      <c r="AT126" s="7"/>
      <c r="AU126" s="7"/>
      <c r="AV126" s="7"/>
      <c r="AW126" s="7"/>
      <c r="AX126" s="7"/>
      <c r="AY126" s="7"/>
    </row>
    <row r="127" spans="44:51" s="6" customFormat="1" x14ac:dyDescent="0.2">
      <c r="AR127" s="7"/>
      <c r="AS127" s="7"/>
      <c r="AT127" s="7"/>
      <c r="AU127" s="7"/>
      <c r="AV127" s="7"/>
      <c r="AW127" s="7"/>
      <c r="AX127" s="7"/>
      <c r="AY127" s="7"/>
    </row>
    <row r="128" spans="44:51" s="6" customFormat="1" x14ac:dyDescent="0.2">
      <c r="AR128" s="7"/>
      <c r="AS128" s="7"/>
      <c r="AT128" s="7"/>
      <c r="AU128" s="7"/>
      <c r="AV128" s="7"/>
      <c r="AW128" s="7"/>
      <c r="AX128" s="7"/>
      <c r="AY128" s="7"/>
    </row>
    <row r="129" spans="44:51" s="6" customFormat="1" x14ac:dyDescent="0.2">
      <c r="AR129" s="7"/>
      <c r="AS129" s="7"/>
      <c r="AT129" s="7"/>
      <c r="AU129" s="7"/>
      <c r="AV129" s="7"/>
      <c r="AW129" s="7"/>
      <c r="AX129" s="7"/>
      <c r="AY129" s="7"/>
    </row>
    <row r="130" spans="44:51" s="6" customFormat="1" x14ac:dyDescent="0.2">
      <c r="AR130" s="7"/>
      <c r="AS130" s="7"/>
      <c r="AT130" s="7"/>
      <c r="AU130" s="7"/>
      <c r="AV130" s="7"/>
      <c r="AW130" s="7"/>
      <c r="AX130" s="7"/>
      <c r="AY130" s="7"/>
    </row>
    <row r="131" spans="44:51" s="6" customFormat="1" x14ac:dyDescent="0.2">
      <c r="AR131" s="7"/>
      <c r="AS131" s="7"/>
      <c r="AT131" s="7"/>
      <c r="AU131" s="7"/>
      <c r="AV131" s="7"/>
      <c r="AW131" s="7"/>
      <c r="AX131" s="7"/>
      <c r="AY131" s="7"/>
    </row>
    <row r="132" spans="44:51" s="6" customFormat="1" x14ac:dyDescent="0.2">
      <c r="AR132" s="7"/>
      <c r="AS132" s="7"/>
      <c r="AT132" s="7"/>
      <c r="AU132" s="7"/>
      <c r="AV132" s="7"/>
      <c r="AW132" s="7"/>
      <c r="AX132" s="7"/>
      <c r="AY132" s="7"/>
    </row>
    <row r="133" spans="44:51" s="6" customFormat="1" x14ac:dyDescent="0.2">
      <c r="AR133" s="7"/>
      <c r="AS133" s="7"/>
      <c r="AT133" s="7"/>
      <c r="AU133" s="7"/>
      <c r="AV133" s="7"/>
      <c r="AW133" s="7"/>
      <c r="AX133" s="7"/>
      <c r="AY133" s="7"/>
    </row>
    <row r="134" spans="44:51" s="6" customFormat="1" x14ac:dyDescent="0.2">
      <c r="AR134" s="7"/>
      <c r="AS134" s="7"/>
      <c r="AT134" s="7"/>
      <c r="AU134" s="7"/>
      <c r="AV134" s="7"/>
      <c r="AW134" s="7"/>
      <c r="AX134" s="7"/>
      <c r="AY134" s="7"/>
    </row>
    <row r="135" spans="44:51" s="6" customFormat="1" x14ac:dyDescent="0.2">
      <c r="AR135" s="7"/>
      <c r="AS135" s="7"/>
      <c r="AT135" s="7"/>
      <c r="AU135" s="7"/>
      <c r="AV135" s="7"/>
      <c r="AW135" s="7"/>
      <c r="AX135" s="7"/>
      <c r="AY135" s="7"/>
    </row>
    <row r="136" spans="44:51" s="6" customFormat="1" x14ac:dyDescent="0.2">
      <c r="AR136" s="7"/>
      <c r="AS136" s="7"/>
      <c r="AT136" s="7"/>
      <c r="AU136" s="7"/>
      <c r="AV136" s="7"/>
      <c r="AW136" s="7"/>
      <c r="AX136" s="7"/>
      <c r="AY136" s="7"/>
    </row>
    <row r="137" spans="44:51" s="6" customFormat="1" x14ac:dyDescent="0.2">
      <c r="AR137" s="7"/>
      <c r="AS137" s="7"/>
      <c r="AT137" s="7"/>
      <c r="AU137" s="7"/>
      <c r="AV137" s="7"/>
      <c r="AW137" s="7"/>
      <c r="AX137" s="7"/>
      <c r="AY137" s="7"/>
    </row>
    <row r="138" spans="44:51" s="6" customFormat="1" x14ac:dyDescent="0.2">
      <c r="AR138" s="7"/>
      <c r="AS138" s="7"/>
      <c r="AT138" s="7"/>
      <c r="AU138" s="7"/>
      <c r="AV138" s="7"/>
      <c r="AW138" s="7"/>
      <c r="AX138" s="7"/>
      <c r="AY138" s="7"/>
    </row>
    <row r="139" spans="44:51" s="6" customFormat="1" x14ac:dyDescent="0.2">
      <c r="AR139" s="7"/>
      <c r="AS139" s="7"/>
      <c r="AT139" s="7"/>
      <c r="AU139" s="7"/>
      <c r="AV139" s="7"/>
      <c r="AW139" s="7"/>
      <c r="AX139" s="7"/>
      <c r="AY139" s="7"/>
    </row>
    <row r="140" spans="44:51" s="6" customFormat="1" x14ac:dyDescent="0.2">
      <c r="AR140" s="7"/>
      <c r="AS140" s="7"/>
      <c r="AT140" s="7"/>
      <c r="AU140" s="7"/>
      <c r="AV140" s="7"/>
      <c r="AW140" s="7"/>
      <c r="AX140" s="7"/>
      <c r="AY140" s="7"/>
    </row>
    <row r="141" spans="44:51" s="6" customFormat="1" x14ac:dyDescent="0.2">
      <c r="AR141" s="7"/>
      <c r="AS141" s="7"/>
      <c r="AT141" s="7"/>
      <c r="AU141" s="7"/>
      <c r="AV141" s="7"/>
      <c r="AW141" s="7"/>
      <c r="AX141" s="7"/>
      <c r="AY141" s="7"/>
    </row>
    <row r="142" spans="44:51" s="6" customFormat="1" x14ac:dyDescent="0.2">
      <c r="AR142" s="7"/>
      <c r="AS142" s="7"/>
      <c r="AT142" s="7"/>
      <c r="AU142" s="7"/>
      <c r="AV142" s="7"/>
      <c r="AW142" s="7"/>
      <c r="AX142" s="7"/>
      <c r="AY142" s="7"/>
    </row>
    <row r="143" spans="44:51" s="6" customFormat="1" x14ac:dyDescent="0.2">
      <c r="AR143" s="7"/>
      <c r="AS143" s="7"/>
      <c r="AT143" s="7"/>
      <c r="AU143" s="7"/>
      <c r="AV143" s="7"/>
      <c r="AW143" s="7"/>
      <c r="AX143" s="7"/>
      <c r="AY143" s="7"/>
    </row>
    <row r="144" spans="44:51" s="6" customFormat="1" x14ac:dyDescent="0.2">
      <c r="AR144" s="7"/>
      <c r="AS144" s="7"/>
      <c r="AT144" s="7"/>
      <c r="AU144" s="7"/>
      <c r="AV144" s="7"/>
      <c r="AW144" s="7"/>
      <c r="AX144" s="7"/>
      <c r="AY144" s="7"/>
    </row>
    <row r="145" spans="44:51" s="6" customFormat="1" x14ac:dyDescent="0.2">
      <c r="AR145" s="7"/>
      <c r="AS145" s="7"/>
      <c r="AT145" s="7"/>
      <c r="AU145" s="7"/>
      <c r="AV145" s="7"/>
      <c r="AW145" s="7"/>
      <c r="AX145" s="7"/>
      <c r="AY145" s="7"/>
    </row>
    <row r="146" spans="44:51" s="6" customFormat="1" x14ac:dyDescent="0.2">
      <c r="AR146" s="7"/>
      <c r="AS146" s="7"/>
      <c r="AT146" s="7"/>
      <c r="AU146" s="7"/>
      <c r="AV146" s="7"/>
      <c r="AW146" s="7"/>
      <c r="AX146" s="7"/>
      <c r="AY146" s="7"/>
    </row>
    <row r="147" spans="44:51" s="6" customFormat="1" x14ac:dyDescent="0.2">
      <c r="AR147" s="7"/>
      <c r="AS147" s="7"/>
      <c r="AT147" s="7"/>
      <c r="AU147" s="7"/>
      <c r="AV147" s="7"/>
      <c r="AW147" s="7"/>
      <c r="AX147" s="7"/>
      <c r="AY147" s="7"/>
    </row>
    <row r="148" spans="44:51" s="6" customFormat="1" x14ac:dyDescent="0.2">
      <c r="AR148" s="7"/>
      <c r="AS148" s="7"/>
      <c r="AT148" s="7"/>
      <c r="AU148" s="7"/>
      <c r="AV148" s="7"/>
      <c r="AW148" s="7"/>
      <c r="AX148" s="7"/>
      <c r="AY148" s="7"/>
    </row>
    <row r="149" spans="44:51" s="6" customFormat="1" x14ac:dyDescent="0.2">
      <c r="AR149" s="7"/>
      <c r="AS149" s="7"/>
      <c r="AT149" s="7"/>
      <c r="AU149" s="7"/>
      <c r="AV149" s="7"/>
      <c r="AW149" s="7"/>
      <c r="AX149" s="7"/>
      <c r="AY149" s="7"/>
    </row>
    <row r="150" spans="44:51" s="6" customFormat="1" x14ac:dyDescent="0.2">
      <c r="AR150" s="7"/>
      <c r="AS150" s="7"/>
      <c r="AT150" s="7"/>
      <c r="AU150" s="7"/>
      <c r="AV150" s="7"/>
      <c r="AW150" s="7"/>
      <c r="AX150" s="7"/>
      <c r="AY150" s="7"/>
    </row>
    <row r="151" spans="44:51" s="6" customFormat="1" x14ac:dyDescent="0.2">
      <c r="AR151" s="7"/>
      <c r="AS151" s="7"/>
      <c r="AT151" s="7"/>
      <c r="AU151" s="7"/>
      <c r="AV151" s="7"/>
      <c r="AW151" s="7"/>
      <c r="AX151" s="7"/>
      <c r="AY151" s="7"/>
    </row>
    <row r="152" spans="44:51" s="6" customFormat="1" x14ac:dyDescent="0.2">
      <c r="AR152" s="7"/>
      <c r="AS152" s="7"/>
      <c r="AT152" s="7"/>
      <c r="AU152" s="7"/>
      <c r="AV152" s="7"/>
      <c r="AW152" s="7"/>
      <c r="AX152" s="7"/>
      <c r="AY152" s="7"/>
    </row>
    <row r="153" spans="44:51" s="6" customFormat="1" x14ac:dyDescent="0.2">
      <c r="AR153" s="7"/>
      <c r="AS153" s="7"/>
      <c r="AT153" s="7"/>
      <c r="AU153" s="7"/>
      <c r="AV153" s="7"/>
      <c r="AW153" s="7"/>
      <c r="AX153" s="7"/>
      <c r="AY153" s="7"/>
    </row>
    <row r="154" spans="44:51" s="6" customFormat="1" x14ac:dyDescent="0.2">
      <c r="AR154" s="7"/>
      <c r="AS154" s="7"/>
      <c r="AT154" s="7"/>
      <c r="AU154" s="7"/>
      <c r="AV154" s="7"/>
      <c r="AW154" s="7"/>
      <c r="AX154" s="7"/>
      <c r="AY154" s="7"/>
    </row>
    <row r="155" spans="44:51" s="6" customFormat="1" x14ac:dyDescent="0.2">
      <c r="AR155" s="7"/>
      <c r="AS155" s="7"/>
      <c r="AT155" s="7"/>
      <c r="AU155" s="7"/>
      <c r="AV155" s="7"/>
      <c r="AW155" s="7"/>
      <c r="AX155" s="7"/>
      <c r="AY155" s="7"/>
    </row>
    <row r="156" spans="44:51" s="6" customFormat="1" x14ac:dyDescent="0.2">
      <c r="AR156" s="7"/>
      <c r="AS156" s="7"/>
      <c r="AT156" s="7"/>
      <c r="AU156" s="7"/>
      <c r="AV156" s="7"/>
      <c r="AW156" s="7"/>
      <c r="AX156" s="7"/>
      <c r="AY156" s="7"/>
    </row>
    <row r="157" spans="44:51" s="6" customFormat="1" x14ac:dyDescent="0.2">
      <c r="AR157" s="7"/>
      <c r="AS157" s="7"/>
      <c r="AT157" s="7"/>
      <c r="AU157" s="7"/>
      <c r="AV157" s="7"/>
      <c r="AW157" s="7"/>
      <c r="AX157" s="7"/>
      <c r="AY157" s="7"/>
    </row>
    <row r="158" spans="44:51" s="6" customFormat="1" x14ac:dyDescent="0.2">
      <c r="AR158" s="7"/>
      <c r="AS158" s="7"/>
      <c r="AT158" s="7"/>
      <c r="AU158" s="7"/>
      <c r="AV158" s="7"/>
      <c r="AW158" s="7"/>
      <c r="AX158" s="7"/>
      <c r="AY158" s="7"/>
    </row>
    <row r="159" spans="44:51" s="6" customFormat="1" x14ac:dyDescent="0.2">
      <c r="AR159" s="7"/>
      <c r="AS159" s="7"/>
      <c r="AT159" s="7"/>
      <c r="AU159" s="7"/>
      <c r="AV159" s="7"/>
      <c r="AW159" s="7"/>
      <c r="AX159" s="7"/>
      <c r="AY159" s="7"/>
    </row>
    <row r="160" spans="44:51" s="6" customFormat="1" x14ac:dyDescent="0.2">
      <c r="AR160" s="7"/>
      <c r="AS160" s="7"/>
      <c r="AT160" s="7"/>
      <c r="AU160" s="7"/>
      <c r="AV160" s="7"/>
      <c r="AW160" s="7"/>
      <c r="AX160" s="7"/>
      <c r="AY160" s="7"/>
    </row>
    <row r="161" spans="44:51" s="6" customFormat="1" x14ac:dyDescent="0.2">
      <c r="AR161" s="7"/>
      <c r="AS161" s="7"/>
      <c r="AT161" s="7"/>
      <c r="AU161" s="7"/>
      <c r="AV161" s="7"/>
      <c r="AW161" s="7"/>
      <c r="AX161" s="7"/>
      <c r="AY161" s="7"/>
    </row>
  </sheetData>
  <sheetProtection selectLockedCells="1"/>
  <mergeCells count="6">
    <mergeCell ref="C1:AQ1"/>
    <mergeCell ref="A3:A43"/>
    <mergeCell ref="A59:B59"/>
    <mergeCell ref="A73:B73"/>
    <mergeCell ref="A60:B60"/>
    <mergeCell ref="A46:B46"/>
  </mergeCells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1"/>
  <sheetViews>
    <sheetView topLeftCell="A10" workbookViewId="0">
      <selection activeCell="F23" sqref="F23"/>
    </sheetView>
  </sheetViews>
  <sheetFormatPr defaultRowHeight="12.75" x14ac:dyDescent="0.2"/>
  <sheetData>
    <row r="1" spans="1:7" x14ac:dyDescent="0.2">
      <c r="A1" s="33" t="s">
        <v>10</v>
      </c>
      <c r="B1" s="33" t="s">
        <v>11</v>
      </c>
      <c r="E1" s="33" t="s">
        <v>151</v>
      </c>
      <c r="F1">
        <f>AVERAGE(A2:A121)</f>
        <v>0.27916666666666667</v>
      </c>
    </row>
    <row r="2" spans="1:7" x14ac:dyDescent="0.2">
      <c r="A2">
        <f>All!B2</f>
        <v>0</v>
      </c>
      <c r="B2">
        <f>All!C2</f>
        <v>6.5</v>
      </c>
      <c r="F2">
        <v>1</v>
      </c>
      <c r="G2">
        <v>120</v>
      </c>
    </row>
    <row r="3" spans="1:7" x14ac:dyDescent="0.2">
      <c r="A3">
        <f>All!B3</f>
        <v>0.5</v>
      </c>
      <c r="B3">
        <f>All!C3</f>
        <v>-3.5</v>
      </c>
    </row>
    <row r="4" spans="1:7" x14ac:dyDescent="0.2">
      <c r="A4">
        <f>All!B4</f>
        <v>1</v>
      </c>
      <c r="B4">
        <f>All!C4</f>
        <v>-3.5</v>
      </c>
      <c r="E4" s="33"/>
    </row>
    <row r="5" spans="1:7" x14ac:dyDescent="0.2">
      <c r="A5">
        <f>All!B5</f>
        <v>-0.5</v>
      </c>
      <c r="B5">
        <f>All!C5</f>
        <v>-8.5</v>
      </c>
    </row>
    <row r="6" spans="1:7" ht="38.25" x14ac:dyDescent="0.2">
      <c r="A6">
        <f>All!B6</f>
        <v>-0.5</v>
      </c>
      <c r="B6">
        <f>All!C6</f>
        <v>-2.5</v>
      </c>
      <c r="E6" s="34" t="s">
        <v>145</v>
      </c>
      <c r="F6">
        <v>2</v>
      </c>
    </row>
    <row r="7" spans="1:7" x14ac:dyDescent="0.2">
      <c r="A7">
        <f>All!B7</f>
        <v>0</v>
      </c>
      <c r="B7">
        <f>All!C7</f>
        <v>0</v>
      </c>
    </row>
    <row r="8" spans="1:7" ht="38.25" x14ac:dyDescent="0.2">
      <c r="A8">
        <f>All!B8</f>
        <v>0.5</v>
      </c>
      <c r="B8">
        <f>All!C8</f>
        <v>3.5</v>
      </c>
      <c r="E8" s="34" t="s">
        <v>150</v>
      </c>
      <c r="F8">
        <v>-2</v>
      </c>
    </row>
    <row r="9" spans="1:7" x14ac:dyDescent="0.2">
      <c r="A9">
        <f>All!B9</f>
        <v>2</v>
      </c>
      <c r="B9">
        <f>All!C9</f>
        <v>3</v>
      </c>
    </row>
    <row r="10" spans="1:7" x14ac:dyDescent="0.2">
      <c r="A10">
        <f>All!B10</f>
        <v>0.5</v>
      </c>
      <c r="B10">
        <f>All!C10</f>
        <v>-6</v>
      </c>
    </row>
    <row r="11" spans="1:7" x14ac:dyDescent="0.2">
      <c r="A11">
        <f>All!B11</f>
        <v>0.5</v>
      </c>
      <c r="B11">
        <f>All!C11</f>
        <v>-2</v>
      </c>
    </row>
    <row r="12" spans="1:7" x14ac:dyDescent="0.2">
      <c r="A12">
        <f>All!B12</f>
        <v>0.5</v>
      </c>
      <c r="B12">
        <f>All!C12</f>
        <v>-3.5</v>
      </c>
    </row>
    <row r="13" spans="1:7" x14ac:dyDescent="0.2">
      <c r="A13">
        <f>All!B13</f>
        <v>-0.5</v>
      </c>
      <c r="B13">
        <f>All!C13</f>
        <v>-1.5</v>
      </c>
    </row>
    <row r="14" spans="1:7" x14ac:dyDescent="0.2">
      <c r="A14">
        <f>All!B14</f>
        <v>0</v>
      </c>
      <c r="B14">
        <f>All!C14</f>
        <v>-7.5</v>
      </c>
    </row>
    <row r="15" spans="1:7" x14ac:dyDescent="0.2">
      <c r="A15">
        <f>All!B15</f>
        <v>-0.5</v>
      </c>
      <c r="B15">
        <f>All!C15</f>
        <v>-2.5</v>
      </c>
    </row>
    <row r="16" spans="1:7" x14ac:dyDescent="0.2">
      <c r="A16">
        <f>All!B16</f>
        <v>0</v>
      </c>
      <c r="B16">
        <f>All!C16</f>
        <v>-4.5</v>
      </c>
    </row>
    <row r="17" spans="1:6" x14ac:dyDescent="0.2">
      <c r="A17">
        <f>All!B17</f>
        <v>-0.5</v>
      </c>
      <c r="B17">
        <f>All!C17</f>
        <v>-8.5</v>
      </c>
    </row>
    <row r="18" spans="1:6" x14ac:dyDescent="0.2">
      <c r="A18">
        <f>All!B18</f>
        <v>0.5</v>
      </c>
      <c r="B18">
        <f>All!C18</f>
        <v>-2.5</v>
      </c>
      <c r="E18" s="33" t="s">
        <v>152</v>
      </c>
      <c r="F18">
        <f>AVERAGE(B2:B121)</f>
        <v>-0.73750000000000004</v>
      </c>
    </row>
    <row r="19" spans="1:6" x14ac:dyDescent="0.2">
      <c r="A19">
        <f>All!B19</f>
        <v>1</v>
      </c>
      <c r="B19">
        <f>All!C19</f>
        <v>-5</v>
      </c>
    </row>
    <row r="20" spans="1:6" x14ac:dyDescent="0.2">
      <c r="A20">
        <f>All!B20</f>
        <v>-1.5</v>
      </c>
      <c r="B20">
        <f>All!C20</f>
        <v>-0.5</v>
      </c>
    </row>
    <row r="21" spans="1:6" x14ac:dyDescent="0.2">
      <c r="A21">
        <f>All!B21</f>
        <v>1</v>
      </c>
      <c r="B21">
        <f>All!C21</f>
        <v>4</v>
      </c>
    </row>
    <row r="22" spans="1:6" ht="38.25" x14ac:dyDescent="0.2">
      <c r="A22">
        <f>All!B22</f>
        <v>1</v>
      </c>
      <c r="B22">
        <f>All!C22</f>
        <v>-3</v>
      </c>
      <c r="E22" s="34" t="s">
        <v>145</v>
      </c>
      <c r="F22">
        <v>2</v>
      </c>
    </row>
    <row r="23" spans="1:6" x14ac:dyDescent="0.2">
      <c r="A23">
        <f>All!B23</f>
        <v>0</v>
      </c>
      <c r="B23">
        <f>All!C23</f>
        <v>-0.5</v>
      </c>
    </row>
    <row r="24" spans="1:6" ht="38.25" x14ac:dyDescent="0.2">
      <c r="A24">
        <f>All!B24</f>
        <v>0</v>
      </c>
      <c r="B24">
        <f>All!C24</f>
        <v>-4.5</v>
      </c>
      <c r="E24" s="34" t="s">
        <v>150</v>
      </c>
      <c r="F24">
        <v>-2</v>
      </c>
    </row>
    <row r="25" spans="1:6" x14ac:dyDescent="0.2">
      <c r="A25">
        <f>All!B25</f>
        <v>1</v>
      </c>
      <c r="B25">
        <f>All!C25</f>
        <v>-4</v>
      </c>
    </row>
    <row r="26" spans="1:6" x14ac:dyDescent="0.2">
      <c r="A26">
        <f>All!B26</f>
        <v>-0.5</v>
      </c>
      <c r="B26">
        <f>All!C26</f>
        <v>-1.5</v>
      </c>
    </row>
    <row r="27" spans="1:6" x14ac:dyDescent="0.2">
      <c r="A27">
        <f>All!B27</f>
        <v>0</v>
      </c>
      <c r="B27">
        <f>All!C27</f>
        <v>-3</v>
      </c>
    </row>
    <row r="28" spans="1:6" x14ac:dyDescent="0.2">
      <c r="A28">
        <f>All!B28</f>
        <v>0</v>
      </c>
      <c r="B28">
        <f>All!C28</f>
        <v>-2</v>
      </c>
    </row>
    <row r="29" spans="1:6" x14ac:dyDescent="0.2">
      <c r="A29">
        <f>All!B29</f>
        <v>-0.5</v>
      </c>
      <c r="B29">
        <f>All!C29</f>
        <v>1.5</v>
      </c>
    </row>
    <row r="30" spans="1:6" x14ac:dyDescent="0.2">
      <c r="A30">
        <f>All!B30</f>
        <v>0</v>
      </c>
      <c r="B30">
        <f>All!C30</f>
        <v>-1.5</v>
      </c>
    </row>
    <row r="31" spans="1:6" x14ac:dyDescent="0.2">
      <c r="A31">
        <f>All!B31</f>
        <v>0.5</v>
      </c>
      <c r="B31">
        <f>All!C31</f>
        <v>-3</v>
      </c>
    </row>
    <row r="32" spans="1:6" x14ac:dyDescent="0.2">
      <c r="A32">
        <f>All!B32</f>
        <v>0.5</v>
      </c>
      <c r="B32">
        <f>All!C32</f>
        <v>-1</v>
      </c>
    </row>
    <row r="33" spans="1:2" x14ac:dyDescent="0.2">
      <c r="A33">
        <f>All!B33</f>
        <v>0.5</v>
      </c>
      <c r="B33">
        <f>All!C33</f>
        <v>-6.5</v>
      </c>
    </row>
    <row r="34" spans="1:2" x14ac:dyDescent="0.2">
      <c r="A34">
        <f>All!B34</f>
        <v>0</v>
      </c>
      <c r="B34">
        <f>All!C34</f>
        <v>-6.5</v>
      </c>
    </row>
    <row r="35" spans="1:2" x14ac:dyDescent="0.2">
      <c r="A35">
        <f>All!B35</f>
        <v>0.5</v>
      </c>
      <c r="B35">
        <f>All!C35</f>
        <v>-5</v>
      </c>
    </row>
    <row r="36" spans="1:2" x14ac:dyDescent="0.2">
      <c r="A36">
        <f>All!B36</f>
        <v>1.5</v>
      </c>
      <c r="B36">
        <f>All!C36</f>
        <v>-2.5</v>
      </c>
    </row>
    <row r="37" spans="1:2" x14ac:dyDescent="0.2">
      <c r="A37">
        <f>All!B37</f>
        <v>0</v>
      </c>
      <c r="B37">
        <f>All!C37</f>
        <v>-4</v>
      </c>
    </row>
    <row r="38" spans="1:2" x14ac:dyDescent="0.2">
      <c r="A38">
        <f>All!B38</f>
        <v>0.5</v>
      </c>
      <c r="B38">
        <f>All!C38</f>
        <v>-4</v>
      </c>
    </row>
    <row r="39" spans="1:2" x14ac:dyDescent="0.2">
      <c r="A39">
        <f>All!B39</f>
        <v>0</v>
      </c>
      <c r="B39">
        <f>All!C39</f>
        <v>-3</v>
      </c>
    </row>
    <row r="40" spans="1:2" x14ac:dyDescent="0.2">
      <c r="A40">
        <f>All!B40</f>
        <v>0.5</v>
      </c>
      <c r="B40">
        <f>All!C40</f>
        <v>-5.5</v>
      </c>
    </row>
    <row r="41" spans="1:2" x14ac:dyDescent="0.2">
      <c r="A41">
        <f>All!B41</f>
        <v>0</v>
      </c>
      <c r="B41">
        <f>All!C41</f>
        <v>-4.5</v>
      </c>
    </row>
    <row r="42" spans="1:2" x14ac:dyDescent="0.2">
      <c r="A42">
        <f>All!B42</f>
        <v>0</v>
      </c>
      <c r="B42">
        <f>All!C42</f>
        <v>8.5</v>
      </c>
    </row>
    <row r="43" spans="1:2" x14ac:dyDescent="0.2">
      <c r="A43">
        <f>All!B43</f>
        <v>-1</v>
      </c>
      <c r="B43">
        <f>All!C43</f>
        <v>6</v>
      </c>
    </row>
    <row r="44" spans="1:2" x14ac:dyDescent="0.2">
      <c r="A44">
        <f>All!B44</f>
        <v>0</v>
      </c>
      <c r="B44">
        <f>All!C44</f>
        <v>-1.5</v>
      </c>
    </row>
    <row r="45" spans="1:2" x14ac:dyDescent="0.2">
      <c r="A45">
        <f>All!B45</f>
        <v>1</v>
      </c>
      <c r="B45">
        <f>All!C45</f>
        <v>-6</v>
      </c>
    </row>
    <row r="46" spans="1:2" x14ac:dyDescent="0.2">
      <c r="A46">
        <f>All!B46</f>
        <v>0</v>
      </c>
      <c r="B46">
        <f>All!C46</f>
        <v>6.5</v>
      </c>
    </row>
    <row r="47" spans="1:2" x14ac:dyDescent="0.2">
      <c r="A47">
        <f>All!B47</f>
        <v>0</v>
      </c>
      <c r="B47">
        <f>All!C47</f>
        <v>1</v>
      </c>
    </row>
    <row r="48" spans="1:2" x14ac:dyDescent="0.2">
      <c r="A48">
        <f>All!B48</f>
        <v>1.5</v>
      </c>
      <c r="B48">
        <f>All!C48</f>
        <v>6.5</v>
      </c>
    </row>
    <row r="49" spans="1:2" x14ac:dyDescent="0.2">
      <c r="A49">
        <f>All!B49</f>
        <v>-0.5</v>
      </c>
      <c r="B49">
        <f>All!C49</f>
        <v>8</v>
      </c>
    </row>
    <row r="50" spans="1:2" x14ac:dyDescent="0.2">
      <c r="A50">
        <f>All!B50</f>
        <v>0</v>
      </c>
      <c r="B50">
        <f>All!C50</f>
        <v>2.5</v>
      </c>
    </row>
    <row r="51" spans="1:2" x14ac:dyDescent="0.2">
      <c r="A51">
        <f>All!B51</f>
        <v>1.5</v>
      </c>
      <c r="B51">
        <f>All!C51</f>
        <v>-0.5</v>
      </c>
    </row>
    <row r="52" spans="1:2" x14ac:dyDescent="0.2">
      <c r="A52">
        <f>All!B52</f>
        <v>1</v>
      </c>
      <c r="B52">
        <f>All!C52</f>
        <v>6</v>
      </c>
    </row>
    <row r="53" spans="1:2" x14ac:dyDescent="0.2">
      <c r="A53">
        <f>All!B53</f>
        <v>0.5</v>
      </c>
      <c r="B53">
        <f>All!C53</f>
        <v>3</v>
      </c>
    </row>
    <row r="54" spans="1:2" x14ac:dyDescent="0.2">
      <c r="A54">
        <f>All!B54</f>
        <v>0.5</v>
      </c>
      <c r="B54">
        <f>All!C54</f>
        <v>8</v>
      </c>
    </row>
    <row r="55" spans="1:2" x14ac:dyDescent="0.2">
      <c r="A55">
        <f>All!B55</f>
        <v>1</v>
      </c>
      <c r="B55">
        <f>All!C55</f>
        <v>6</v>
      </c>
    </row>
    <row r="56" spans="1:2" x14ac:dyDescent="0.2">
      <c r="A56">
        <f>All!B56</f>
        <v>-0.5</v>
      </c>
      <c r="B56">
        <f>All!C56</f>
        <v>-2.5</v>
      </c>
    </row>
    <row r="57" spans="1:2" x14ac:dyDescent="0.2">
      <c r="A57">
        <f>All!B57</f>
        <v>1.5</v>
      </c>
      <c r="B57">
        <f>All!C57</f>
        <v>-2</v>
      </c>
    </row>
    <row r="58" spans="1:2" x14ac:dyDescent="0.2">
      <c r="A58">
        <f>All!B58</f>
        <v>0.5</v>
      </c>
      <c r="B58">
        <f>All!C58</f>
        <v>8</v>
      </c>
    </row>
    <row r="59" spans="1:2" x14ac:dyDescent="0.2">
      <c r="A59">
        <f>All!B59</f>
        <v>1</v>
      </c>
      <c r="B59">
        <f>All!C59</f>
        <v>1.5</v>
      </c>
    </row>
    <row r="60" spans="1:2" x14ac:dyDescent="0.2">
      <c r="A60">
        <f>All!B60</f>
        <v>0</v>
      </c>
      <c r="B60">
        <f>All!C60</f>
        <v>-5</v>
      </c>
    </row>
    <row r="61" spans="1:2" x14ac:dyDescent="0.2">
      <c r="A61">
        <f>All!B61</f>
        <v>0</v>
      </c>
      <c r="B61">
        <f>All!C61</f>
        <v>1</v>
      </c>
    </row>
    <row r="62" spans="1:2" x14ac:dyDescent="0.2">
      <c r="A62">
        <f>All!B62</f>
        <v>0</v>
      </c>
      <c r="B62">
        <f>All!C62</f>
        <v>2.5</v>
      </c>
    </row>
    <row r="63" spans="1:2" x14ac:dyDescent="0.2">
      <c r="A63">
        <f>All!B63</f>
        <v>0.5</v>
      </c>
      <c r="B63">
        <f>All!C63</f>
        <v>-3</v>
      </c>
    </row>
    <row r="64" spans="1:2" x14ac:dyDescent="0.2">
      <c r="A64">
        <f>All!B64</f>
        <v>1</v>
      </c>
      <c r="B64">
        <f>All!C64</f>
        <v>-2</v>
      </c>
    </row>
    <row r="65" spans="1:2" x14ac:dyDescent="0.2">
      <c r="A65">
        <f>All!B65</f>
        <v>1</v>
      </c>
      <c r="B65">
        <f>All!C65</f>
        <v>0.5</v>
      </c>
    </row>
    <row r="66" spans="1:2" x14ac:dyDescent="0.2">
      <c r="A66">
        <f>All!B66</f>
        <v>0</v>
      </c>
      <c r="B66">
        <f>All!C66</f>
        <v>-3</v>
      </c>
    </row>
    <row r="67" spans="1:2" x14ac:dyDescent="0.2">
      <c r="A67">
        <f>All!B67</f>
        <v>0</v>
      </c>
      <c r="B67">
        <f>All!C67</f>
        <v>-2.5</v>
      </c>
    </row>
    <row r="68" spans="1:2" x14ac:dyDescent="0.2">
      <c r="A68">
        <f>All!B68</f>
        <v>0</v>
      </c>
      <c r="B68">
        <f>All!C68</f>
        <v>1.5</v>
      </c>
    </row>
    <row r="69" spans="1:2" x14ac:dyDescent="0.2">
      <c r="A69">
        <f>All!B69</f>
        <v>0.5</v>
      </c>
      <c r="B69">
        <f>All!C69</f>
        <v>-3.5</v>
      </c>
    </row>
    <row r="70" spans="1:2" x14ac:dyDescent="0.2">
      <c r="A70">
        <f>All!B70</f>
        <v>1</v>
      </c>
      <c r="B70">
        <f>All!C70</f>
        <v>0</v>
      </c>
    </row>
    <row r="71" spans="1:2" x14ac:dyDescent="0.2">
      <c r="A71">
        <f>All!B71</f>
        <v>0.5</v>
      </c>
      <c r="B71">
        <f>All!C71</f>
        <v>-4</v>
      </c>
    </row>
    <row r="72" spans="1:2" x14ac:dyDescent="0.2">
      <c r="A72">
        <f>All!B72</f>
        <v>0</v>
      </c>
      <c r="B72">
        <f>All!C72</f>
        <v>-2.5</v>
      </c>
    </row>
    <row r="73" spans="1:2" x14ac:dyDescent="0.2">
      <c r="A73">
        <f>All!B73</f>
        <v>0.5</v>
      </c>
      <c r="B73">
        <f>All!C73</f>
        <v>-4.5</v>
      </c>
    </row>
    <row r="74" spans="1:2" x14ac:dyDescent="0.2">
      <c r="A74">
        <f>All!B74</f>
        <v>0</v>
      </c>
      <c r="B74">
        <f>All!C74</f>
        <v>-5</v>
      </c>
    </row>
    <row r="75" spans="1:2" x14ac:dyDescent="0.2">
      <c r="A75">
        <f>All!B75</f>
        <v>0.5</v>
      </c>
      <c r="B75">
        <f>All!C75</f>
        <v>0.5</v>
      </c>
    </row>
    <row r="76" spans="1:2" x14ac:dyDescent="0.2">
      <c r="A76">
        <f>All!B76</f>
        <v>1</v>
      </c>
      <c r="B76">
        <f>All!C76</f>
        <v>-1</v>
      </c>
    </row>
    <row r="77" spans="1:2" x14ac:dyDescent="0.2">
      <c r="A77">
        <f>All!B77</f>
        <v>0</v>
      </c>
      <c r="B77">
        <f>All!C77</f>
        <v>-4</v>
      </c>
    </row>
    <row r="78" spans="1:2" x14ac:dyDescent="0.2">
      <c r="A78">
        <f>All!B78</f>
        <v>0.5</v>
      </c>
      <c r="B78">
        <f>All!C78</f>
        <v>0.5</v>
      </c>
    </row>
    <row r="79" spans="1:2" x14ac:dyDescent="0.2">
      <c r="A79">
        <f>All!B79</f>
        <v>0</v>
      </c>
      <c r="B79">
        <f>All!C79</f>
        <v>-3</v>
      </c>
    </row>
    <row r="80" spans="1:2" x14ac:dyDescent="0.2">
      <c r="A80">
        <f>All!B80</f>
        <v>0.5</v>
      </c>
      <c r="B80">
        <f>All!C80</f>
        <v>-0.5</v>
      </c>
    </row>
    <row r="81" spans="1:2" x14ac:dyDescent="0.2">
      <c r="A81">
        <f>All!B81</f>
        <v>0</v>
      </c>
      <c r="B81">
        <f>All!C81</f>
        <v>-2.5</v>
      </c>
    </row>
    <row r="82" spans="1:2" x14ac:dyDescent="0.2">
      <c r="A82">
        <f>All!B82</f>
        <v>0.5</v>
      </c>
      <c r="B82">
        <f>All!C82</f>
        <v>7</v>
      </c>
    </row>
    <row r="83" spans="1:2" x14ac:dyDescent="0.2">
      <c r="A83">
        <f>All!B83</f>
        <v>1</v>
      </c>
      <c r="B83">
        <f>All!C83</f>
        <v>3</v>
      </c>
    </row>
    <row r="84" spans="1:2" x14ac:dyDescent="0.2">
      <c r="A84">
        <f>All!B84</f>
        <v>0.5</v>
      </c>
      <c r="B84">
        <f>All!C84</f>
        <v>-1</v>
      </c>
    </row>
    <row r="85" spans="1:2" x14ac:dyDescent="0.2">
      <c r="A85">
        <f>All!B85</f>
        <v>0</v>
      </c>
      <c r="B85">
        <f>All!C85</f>
        <v>-3</v>
      </c>
    </row>
    <row r="86" spans="1:2" x14ac:dyDescent="0.2">
      <c r="A86">
        <f>All!B86</f>
        <v>-0.5</v>
      </c>
      <c r="B86">
        <f>All!C86</f>
        <v>-3.5</v>
      </c>
    </row>
    <row r="87" spans="1:2" x14ac:dyDescent="0.2">
      <c r="A87">
        <f>All!B87</f>
        <v>-1</v>
      </c>
      <c r="B87">
        <f>All!C87</f>
        <v>-6.5</v>
      </c>
    </row>
    <row r="88" spans="1:2" x14ac:dyDescent="0.2">
      <c r="A88">
        <f>All!B88</f>
        <v>0</v>
      </c>
      <c r="B88">
        <f>All!C88</f>
        <v>-1.5</v>
      </c>
    </row>
    <row r="89" spans="1:2" x14ac:dyDescent="0.2">
      <c r="A89">
        <f>All!B89</f>
        <v>1</v>
      </c>
      <c r="B89">
        <f>All!C89</f>
        <v>-1</v>
      </c>
    </row>
    <row r="90" spans="1:2" x14ac:dyDescent="0.2">
      <c r="A90">
        <f>All!B90</f>
        <v>0</v>
      </c>
      <c r="B90">
        <f>All!C90</f>
        <v>4</v>
      </c>
    </row>
    <row r="91" spans="1:2" x14ac:dyDescent="0.2">
      <c r="A91">
        <f>All!B91</f>
        <v>1</v>
      </c>
      <c r="B91">
        <f>All!C91</f>
        <v>-3</v>
      </c>
    </row>
    <row r="92" spans="1:2" x14ac:dyDescent="0.2">
      <c r="A92">
        <f>All!B92</f>
        <v>-1</v>
      </c>
      <c r="B92">
        <f>All!C92</f>
        <v>-4.5</v>
      </c>
    </row>
    <row r="93" spans="1:2" x14ac:dyDescent="0.2">
      <c r="A93">
        <f>All!B93</f>
        <v>0</v>
      </c>
      <c r="B93">
        <f>All!C93</f>
        <v>-0.5</v>
      </c>
    </row>
    <row r="94" spans="1:2" x14ac:dyDescent="0.2">
      <c r="A94">
        <f>All!B94</f>
        <v>0.5</v>
      </c>
      <c r="B94">
        <f>All!C94</f>
        <v>-0.5</v>
      </c>
    </row>
    <row r="95" spans="1:2" x14ac:dyDescent="0.2">
      <c r="A95">
        <f>All!B95</f>
        <v>0.5</v>
      </c>
      <c r="B95">
        <f>All!C95</f>
        <v>-1.5</v>
      </c>
    </row>
    <row r="96" spans="1:2" x14ac:dyDescent="0.2">
      <c r="A96">
        <f>All!B96</f>
        <v>0</v>
      </c>
      <c r="B96">
        <f>All!C96</f>
        <v>-3</v>
      </c>
    </row>
    <row r="97" spans="1:2" x14ac:dyDescent="0.2">
      <c r="A97">
        <f>All!B97</f>
        <v>0.5</v>
      </c>
      <c r="B97">
        <f>All!C97</f>
        <v>-4.5</v>
      </c>
    </row>
    <row r="98" spans="1:2" x14ac:dyDescent="0.2">
      <c r="A98">
        <f>All!B98</f>
        <v>-0.5</v>
      </c>
      <c r="B98">
        <f>All!C98</f>
        <v>-6</v>
      </c>
    </row>
    <row r="99" spans="1:2" x14ac:dyDescent="0.2">
      <c r="A99">
        <f>All!B99</f>
        <v>0</v>
      </c>
      <c r="B99">
        <f>All!C99</f>
        <v>-3</v>
      </c>
    </row>
    <row r="100" spans="1:2" x14ac:dyDescent="0.2">
      <c r="A100">
        <f>All!B100</f>
        <v>1</v>
      </c>
      <c r="B100">
        <f>All!C100</f>
        <v>0</v>
      </c>
    </row>
    <row r="101" spans="1:2" x14ac:dyDescent="0.2">
      <c r="A101">
        <f>All!B101</f>
        <v>0.5</v>
      </c>
      <c r="B101">
        <f>All!C101</f>
        <v>-2</v>
      </c>
    </row>
    <row r="102" spans="1:2" x14ac:dyDescent="0.2">
      <c r="A102">
        <f>All!B102</f>
        <v>2</v>
      </c>
      <c r="B102">
        <f>All!C102</f>
        <v>0.5</v>
      </c>
    </row>
    <row r="103" spans="1:2" x14ac:dyDescent="0.2">
      <c r="A103">
        <f>All!B103</f>
        <v>0</v>
      </c>
      <c r="B103">
        <f>All!C103</f>
        <v>-1.5</v>
      </c>
    </row>
    <row r="104" spans="1:2" x14ac:dyDescent="0.2">
      <c r="A104">
        <f>All!B104</f>
        <v>0.5</v>
      </c>
      <c r="B104">
        <f>All!C104</f>
        <v>5</v>
      </c>
    </row>
    <row r="105" spans="1:2" x14ac:dyDescent="0.2">
      <c r="A105">
        <f>All!B105</f>
        <v>-0.5</v>
      </c>
      <c r="B105">
        <f>All!C105</f>
        <v>4</v>
      </c>
    </row>
    <row r="106" spans="1:2" x14ac:dyDescent="0.2">
      <c r="A106">
        <f>All!B106</f>
        <v>0</v>
      </c>
      <c r="B106">
        <f>All!C106</f>
        <v>2.5</v>
      </c>
    </row>
    <row r="107" spans="1:2" x14ac:dyDescent="0.2">
      <c r="A107">
        <f>All!B107</f>
        <v>0</v>
      </c>
      <c r="B107">
        <f>All!C107</f>
        <v>1</v>
      </c>
    </row>
    <row r="108" spans="1:2" x14ac:dyDescent="0.2">
      <c r="A108">
        <f>All!B108</f>
        <v>-0.5</v>
      </c>
      <c r="B108">
        <f>All!C108</f>
        <v>1</v>
      </c>
    </row>
    <row r="109" spans="1:2" x14ac:dyDescent="0.2">
      <c r="A109">
        <f>All!B109</f>
        <v>-0.5</v>
      </c>
      <c r="B109">
        <f>All!C109</f>
        <v>-1.5</v>
      </c>
    </row>
    <row r="110" spans="1:2" x14ac:dyDescent="0.2">
      <c r="A110">
        <f>All!B110</f>
        <v>1</v>
      </c>
      <c r="B110">
        <f>All!C110</f>
        <v>3.5</v>
      </c>
    </row>
    <row r="111" spans="1:2" x14ac:dyDescent="0.2">
      <c r="A111">
        <f>All!B111</f>
        <v>-0.5</v>
      </c>
      <c r="B111">
        <f>All!C111</f>
        <v>0.5</v>
      </c>
    </row>
    <row r="112" spans="1:2" x14ac:dyDescent="0.2">
      <c r="A112">
        <f>All!B112</f>
        <v>0</v>
      </c>
      <c r="B112">
        <f>All!C112</f>
        <v>2.5</v>
      </c>
    </row>
    <row r="113" spans="1:2" x14ac:dyDescent="0.2">
      <c r="A113">
        <f>All!B113</f>
        <v>0</v>
      </c>
      <c r="B113">
        <f>All!C113</f>
        <v>0</v>
      </c>
    </row>
    <row r="114" spans="1:2" x14ac:dyDescent="0.2">
      <c r="A114">
        <f>All!B114</f>
        <v>0.5</v>
      </c>
      <c r="B114">
        <f>All!C114</f>
        <v>1</v>
      </c>
    </row>
    <row r="115" spans="1:2" x14ac:dyDescent="0.2">
      <c r="A115">
        <f>All!B115</f>
        <v>-0.5</v>
      </c>
      <c r="B115">
        <f>All!C115</f>
        <v>-2.5</v>
      </c>
    </row>
    <row r="116" spans="1:2" x14ac:dyDescent="0.2">
      <c r="A116">
        <f>All!B116</f>
        <v>1</v>
      </c>
      <c r="B116">
        <f>All!C116</f>
        <v>3</v>
      </c>
    </row>
    <row r="117" spans="1:2" x14ac:dyDescent="0.2">
      <c r="A117">
        <f>All!B117</f>
        <v>0.5</v>
      </c>
      <c r="B117">
        <f>All!C117</f>
        <v>2.5</v>
      </c>
    </row>
    <row r="118" spans="1:2" x14ac:dyDescent="0.2">
      <c r="A118">
        <f>All!B118</f>
        <v>0</v>
      </c>
      <c r="B118">
        <f>All!C118</f>
        <v>0</v>
      </c>
    </row>
    <row r="119" spans="1:2" x14ac:dyDescent="0.2">
      <c r="A119">
        <f>All!B119</f>
        <v>1</v>
      </c>
      <c r="B119">
        <f>All!C119</f>
        <v>0.5</v>
      </c>
    </row>
    <row r="120" spans="1:2" x14ac:dyDescent="0.2">
      <c r="A120">
        <f>All!B120</f>
        <v>0</v>
      </c>
      <c r="B120">
        <f>All!C120</f>
        <v>5</v>
      </c>
    </row>
    <row r="121" spans="1:2" x14ac:dyDescent="0.2">
      <c r="A121">
        <f>All!B121</f>
        <v>0.5</v>
      </c>
      <c r="B121">
        <f>All!C121</f>
        <v>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6"/>
  <sheetViews>
    <sheetView showRowColHeaders="0" topLeftCell="A4" zoomScaleNormal="100" workbookViewId="0">
      <selection activeCell="K41" sqref="K41"/>
    </sheetView>
  </sheetViews>
  <sheetFormatPr defaultRowHeight="12.75" x14ac:dyDescent="0.2"/>
  <cols>
    <col min="1" max="1" width="8.85546875" customWidth="1"/>
    <col min="2" max="2" width="12.5703125" bestFit="1" customWidth="1"/>
    <col min="3" max="4" width="12.5703125" customWidth="1"/>
    <col min="5" max="5" width="17.140625" customWidth="1"/>
  </cols>
  <sheetData>
    <row r="1" spans="1:7" ht="13.5" thickBot="1" x14ac:dyDescent="0.25">
      <c r="A1" s="33" t="s">
        <v>142</v>
      </c>
      <c r="B1" s="33" t="s">
        <v>143</v>
      </c>
      <c r="C1" s="33"/>
      <c r="D1" s="33"/>
      <c r="E1" s="33" t="s">
        <v>144</v>
      </c>
      <c r="F1">
        <f>AVERAGE(A2:A120)</f>
        <v>0.70168067226890751</v>
      </c>
    </row>
    <row r="2" spans="1:7" ht="13.5" thickBot="1" x14ac:dyDescent="0.25">
      <c r="A2" s="18">
        <f>ABS(All!B3-All!B2)</f>
        <v>0.5</v>
      </c>
      <c r="B2" s="18">
        <f>ABS(All!C3-All!C2)</f>
        <v>10</v>
      </c>
      <c r="C2" s="33" t="s">
        <v>141</v>
      </c>
      <c r="F2">
        <v>1</v>
      </c>
      <c r="G2">
        <v>119</v>
      </c>
    </row>
    <row r="3" spans="1:7" ht="13.5" thickBot="1" x14ac:dyDescent="0.25">
      <c r="A3" s="18">
        <f>ABS(All!B4-All!B3)</f>
        <v>0.5</v>
      </c>
      <c r="B3" s="18">
        <f>ABS(All!C4-All!C3)</f>
        <v>0</v>
      </c>
      <c r="C3" s="33" t="s">
        <v>141</v>
      </c>
    </row>
    <row r="4" spans="1:7" ht="26.25" thickBot="1" x14ac:dyDescent="0.25">
      <c r="A4" s="18">
        <f>ABS(All!B5-All!B4)</f>
        <v>1.5</v>
      </c>
      <c r="B4" s="18">
        <f>ABS(All!C5-All!C4)</f>
        <v>5</v>
      </c>
      <c r="C4" s="33" t="s">
        <v>141</v>
      </c>
      <c r="E4" s="34" t="s">
        <v>145</v>
      </c>
      <c r="F4">
        <v>2</v>
      </c>
    </row>
    <row r="5" spans="1:7" ht="13.5" thickBot="1" x14ac:dyDescent="0.25">
      <c r="A5" s="18">
        <f>ABS(All!B6-All!B5)</f>
        <v>0</v>
      </c>
      <c r="B5" s="18">
        <f>ABS(All!C6-All!C5)</f>
        <v>6</v>
      </c>
      <c r="C5" s="33" t="s">
        <v>141</v>
      </c>
      <c r="E5" s="34"/>
    </row>
    <row r="6" spans="1:7" ht="13.5" thickBot="1" x14ac:dyDescent="0.25">
      <c r="A6" s="18">
        <f>ABS(All!B7-All!B6)</f>
        <v>0.5</v>
      </c>
      <c r="B6" s="18">
        <f>ABS(All!C7-All!C6)</f>
        <v>2.5</v>
      </c>
      <c r="C6" s="33" t="s">
        <v>141</v>
      </c>
    </row>
    <row r="7" spans="1:7" ht="13.5" thickBot="1" x14ac:dyDescent="0.25">
      <c r="A7" s="18">
        <f>ABS(All!B8-All!B7)</f>
        <v>0.5</v>
      </c>
      <c r="B7" s="18">
        <f>ABS(All!C8-All!C7)</f>
        <v>3.5</v>
      </c>
      <c r="C7" s="33" t="s">
        <v>141</v>
      </c>
    </row>
    <row r="8" spans="1:7" ht="13.5" thickBot="1" x14ac:dyDescent="0.25">
      <c r="A8" s="18">
        <f>ABS(All!B9-All!B8)</f>
        <v>1.5</v>
      </c>
      <c r="B8" s="18">
        <f>ABS(All!C9-All!C8)</f>
        <v>0.5</v>
      </c>
      <c r="C8" s="33" t="s">
        <v>141</v>
      </c>
    </row>
    <row r="9" spans="1:7" ht="13.5" thickBot="1" x14ac:dyDescent="0.25">
      <c r="A9" s="18">
        <f>ABS(All!B10-All!B9)</f>
        <v>1.5</v>
      </c>
      <c r="B9" s="18">
        <f>ABS(All!C10-All!C9)</f>
        <v>9</v>
      </c>
      <c r="C9" s="33" t="s">
        <v>141</v>
      </c>
    </row>
    <row r="10" spans="1:7" ht="13.5" thickBot="1" x14ac:dyDescent="0.25">
      <c r="A10" s="18">
        <f>ABS(All!B11-All!B10)</f>
        <v>0</v>
      </c>
      <c r="B10" s="18">
        <f>ABS(All!C11-All!C10)</f>
        <v>4</v>
      </c>
      <c r="C10" s="33" t="s">
        <v>141</v>
      </c>
    </row>
    <row r="11" spans="1:7" ht="13.5" thickBot="1" x14ac:dyDescent="0.25">
      <c r="A11" s="18">
        <f>ABS(All!B12-All!B11)</f>
        <v>0</v>
      </c>
      <c r="B11" s="18">
        <f>ABS(All!C12-All!C11)</f>
        <v>1.5</v>
      </c>
      <c r="C11" s="33" t="s">
        <v>141</v>
      </c>
    </row>
    <row r="12" spans="1:7" ht="13.5" thickBot="1" x14ac:dyDescent="0.25">
      <c r="A12" s="18">
        <f>ABS(All!B13-All!B12)</f>
        <v>1</v>
      </c>
      <c r="B12" s="18">
        <f>ABS(All!C13-All!C12)</f>
        <v>2</v>
      </c>
      <c r="C12" s="33" t="s">
        <v>141</v>
      </c>
    </row>
    <row r="13" spans="1:7" ht="13.5" thickBot="1" x14ac:dyDescent="0.25">
      <c r="A13" s="18">
        <f>ABS(All!B14-All!B13)</f>
        <v>0.5</v>
      </c>
      <c r="B13" s="18">
        <f>ABS(All!C14-All!C13)</f>
        <v>6</v>
      </c>
      <c r="C13" s="33" t="s">
        <v>141</v>
      </c>
    </row>
    <row r="14" spans="1:7" ht="13.5" thickBot="1" x14ac:dyDescent="0.25">
      <c r="A14" s="18">
        <f>ABS(All!B15-All!B14)</f>
        <v>0.5</v>
      </c>
      <c r="B14" s="18">
        <f>ABS(All!C15-All!C14)</f>
        <v>5</v>
      </c>
      <c r="C14" s="33" t="s">
        <v>141</v>
      </c>
    </row>
    <row r="15" spans="1:7" ht="13.5" thickBot="1" x14ac:dyDescent="0.25">
      <c r="A15" s="18">
        <f>ABS(All!B16-All!B15)</f>
        <v>0.5</v>
      </c>
      <c r="B15" s="18">
        <f>ABS(All!C16-All!C15)</f>
        <v>2</v>
      </c>
      <c r="C15" s="33" t="s">
        <v>141</v>
      </c>
    </row>
    <row r="16" spans="1:7" ht="13.5" thickBot="1" x14ac:dyDescent="0.25">
      <c r="A16" s="18">
        <f>ABS(All!B17-All!B16)</f>
        <v>0.5</v>
      </c>
      <c r="B16" s="18">
        <f>ABS(All!C17-All!C16)</f>
        <v>4</v>
      </c>
      <c r="C16" s="33" t="s">
        <v>141</v>
      </c>
    </row>
    <row r="17" spans="1:3" ht="13.5" thickBot="1" x14ac:dyDescent="0.25">
      <c r="A17" s="18">
        <f>ABS(All!B18-All!B17)</f>
        <v>1</v>
      </c>
      <c r="B17" s="18">
        <f>ABS(All!C18-All!C17)</f>
        <v>6</v>
      </c>
      <c r="C17" s="33" t="s">
        <v>141</v>
      </c>
    </row>
    <row r="18" spans="1:3" ht="13.5" thickBot="1" x14ac:dyDescent="0.25">
      <c r="A18" s="18">
        <f>ABS(All!B19-All!B18)</f>
        <v>0.5</v>
      </c>
      <c r="B18" s="18">
        <f>ABS(All!C19-All!C18)</f>
        <v>2.5</v>
      </c>
      <c r="C18" s="33" t="s">
        <v>141</v>
      </c>
    </row>
    <row r="19" spans="1:3" ht="13.5" thickBot="1" x14ac:dyDescent="0.25">
      <c r="A19" s="18">
        <f>ABS(All!B20-All!B19)</f>
        <v>2.5</v>
      </c>
      <c r="B19" s="18">
        <f>ABS(All!C20-All!C19)</f>
        <v>4.5</v>
      </c>
      <c r="C19" s="33" t="s">
        <v>141</v>
      </c>
    </row>
    <row r="20" spans="1:3" ht="13.5" thickBot="1" x14ac:dyDescent="0.25">
      <c r="A20" s="18">
        <f>ABS(All!B21-All!B20)</f>
        <v>2.5</v>
      </c>
      <c r="B20" s="18">
        <f>ABS(All!C21-All!C20)</f>
        <v>4.5</v>
      </c>
      <c r="C20" s="33" t="s">
        <v>141</v>
      </c>
    </row>
    <row r="21" spans="1:3" ht="13.5" thickBot="1" x14ac:dyDescent="0.25">
      <c r="A21" s="18">
        <f>ABS(All!B22-All!B21)</f>
        <v>0</v>
      </c>
      <c r="B21" s="18">
        <f>ABS(All!C22-All!C21)</f>
        <v>7</v>
      </c>
      <c r="C21" s="33" t="s">
        <v>141</v>
      </c>
    </row>
    <row r="22" spans="1:3" ht="13.5" thickBot="1" x14ac:dyDescent="0.25">
      <c r="A22" s="18">
        <f>ABS(All!B23-All!B22)</f>
        <v>1</v>
      </c>
      <c r="B22" s="18">
        <f>ABS(All!C23-All!C22)</f>
        <v>2.5</v>
      </c>
      <c r="C22" s="33" t="s">
        <v>139</v>
      </c>
    </row>
    <row r="23" spans="1:3" ht="13.5" thickBot="1" x14ac:dyDescent="0.25">
      <c r="A23" s="18">
        <f>ABS(All!B24-All!B23)</f>
        <v>0</v>
      </c>
      <c r="B23" s="18">
        <f>ABS(All!C24-All!C23)</f>
        <v>4</v>
      </c>
      <c r="C23" s="33" t="s">
        <v>139</v>
      </c>
    </row>
    <row r="24" spans="1:3" ht="13.5" thickBot="1" x14ac:dyDescent="0.25">
      <c r="A24" s="18">
        <f>ABS(All!B25-All!B24)</f>
        <v>1</v>
      </c>
      <c r="B24" s="18">
        <f>ABS(All!C25-All!C24)</f>
        <v>0.5</v>
      </c>
      <c r="C24" s="33" t="s">
        <v>139</v>
      </c>
    </row>
    <row r="25" spans="1:3" ht="13.5" thickBot="1" x14ac:dyDescent="0.25">
      <c r="A25" s="18">
        <f>ABS(All!B26-All!B25)</f>
        <v>1.5</v>
      </c>
      <c r="B25" s="18">
        <f>ABS(All!C26-All!C25)</f>
        <v>2.5</v>
      </c>
      <c r="C25" s="33" t="s">
        <v>139</v>
      </c>
    </row>
    <row r="26" spans="1:3" ht="13.5" thickBot="1" x14ac:dyDescent="0.25">
      <c r="A26" s="18">
        <f>ABS(All!B27-All!B26)</f>
        <v>0.5</v>
      </c>
      <c r="B26" s="18">
        <f>ABS(All!C27-All!C26)</f>
        <v>1.5</v>
      </c>
      <c r="C26" s="33" t="s">
        <v>139</v>
      </c>
    </row>
    <row r="27" spans="1:3" ht="13.5" thickBot="1" x14ac:dyDescent="0.25">
      <c r="A27" s="18">
        <f>ABS(All!B28-All!B27)</f>
        <v>0</v>
      </c>
      <c r="B27" s="18">
        <f>ABS(All!C28-All!C27)</f>
        <v>1</v>
      </c>
      <c r="C27" s="33" t="s">
        <v>139</v>
      </c>
    </row>
    <row r="28" spans="1:3" ht="13.5" thickBot="1" x14ac:dyDescent="0.25">
      <c r="A28" s="18">
        <f>ABS(All!B29-All!B28)</f>
        <v>0.5</v>
      </c>
      <c r="B28" s="18">
        <f>ABS(All!C29-All!C28)</f>
        <v>3.5</v>
      </c>
      <c r="C28" s="33" t="s">
        <v>139</v>
      </c>
    </row>
    <row r="29" spans="1:3" ht="13.5" thickBot="1" x14ac:dyDescent="0.25">
      <c r="A29" s="18">
        <f>ABS(All!B30-All!B29)</f>
        <v>0.5</v>
      </c>
      <c r="B29" s="18">
        <f>ABS(All!C30-All!C29)</f>
        <v>3</v>
      </c>
      <c r="C29" s="33" t="s">
        <v>139</v>
      </c>
    </row>
    <row r="30" spans="1:3" ht="13.5" thickBot="1" x14ac:dyDescent="0.25">
      <c r="A30" s="18">
        <f>ABS(All!B31-All!B30)</f>
        <v>0.5</v>
      </c>
      <c r="B30" s="18">
        <f>ABS(All!C31-All!C30)</f>
        <v>1.5</v>
      </c>
      <c r="C30" s="33" t="s">
        <v>139</v>
      </c>
    </row>
    <row r="31" spans="1:3" ht="13.5" thickBot="1" x14ac:dyDescent="0.25">
      <c r="A31" s="18">
        <f>ABS(All!B32-All!B31)</f>
        <v>0</v>
      </c>
      <c r="B31" s="18">
        <f>ABS(All!C32-All!C31)</f>
        <v>2</v>
      </c>
      <c r="C31" s="33" t="s">
        <v>139</v>
      </c>
    </row>
    <row r="32" spans="1:3" ht="13.5" thickBot="1" x14ac:dyDescent="0.25">
      <c r="A32" s="18">
        <f>ABS(All!B33-All!B32)</f>
        <v>0</v>
      </c>
      <c r="B32" s="18">
        <f>ABS(All!C33-All!C32)</f>
        <v>5.5</v>
      </c>
      <c r="C32" s="33" t="s">
        <v>139</v>
      </c>
    </row>
    <row r="33" spans="1:6" ht="13.5" thickBot="1" x14ac:dyDescent="0.25">
      <c r="A33" s="18">
        <f>ABS(All!B34-All!B33)</f>
        <v>0.5</v>
      </c>
      <c r="B33" s="18">
        <f>ABS(All!C34-All!C33)</f>
        <v>0</v>
      </c>
      <c r="C33" s="33" t="s">
        <v>139</v>
      </c>
    </row>
    <row r="34" spans="1:6" ht="13.5" thickBot="1" x14ac:dyDescent="0.25">
      <c r="A34" s="18">
        <f>ABS(All!B35-All!B34)</f>
        <v>0.5</v>
      </c>
      <c r="B34" s="18">
        <f>ABS(All!C35-All!C34)</f>
        <v>1.5</v>
      </c>
      <c r="C34" s="33" t="s">
        <v>139</v>
      </c>
    </row>
    <row r="35" spans="1:6" ht="13.5" thickBot="1" x14ac:dyDescent="0.25">
      <c r="A35" s="18">
        <f>ABS(All!B36-All!B35)</f>
        <v>1</v>
      </c>
      <c r="B35" s="18">
        <f>ABS(All!C36-All!C35)</f>
        <v>2.5</v>
      </c>
      <c r="C35" s="33" t="s">
        <v>139</v>
      </c>
    </row>
    <row r="36" spans="1:6" ht="13.5" thickBot="1" x14ac:dyDescent="0.25">
      <c r="A36" s="18">
        <f>ABS(All!B37-All!B36)</f>
        <v>1.5</v>
      </c>
      <c r="B36" s="18">
        <f>ABS(All!C37-All!C36)</f>
        <v>1.5</v>
      </c>
      <c r="C36" s="33" t="s">
        <v>139</v>
      </c>
    </row>
    <row r="37" spans="1:6" ht="13.5" thickBot="1" x14ac:dyDescent="0.25">
      <c r="A37" s="18">
        <f>ABS(All!B38-All!B37)</f>
        <v>0.5</v>
      </c>
      <c r="B37" s="18">
        <f>ABS(All!C38-All!C37)</f>
        <v>0</v>
      </c>
      <c r="C37" s="33" t="s">
        <v>139</v>
      </c>
    </row>
    <row r="38" spans="1:6" ht="13.5" thickBot="1" x14ac:dyDescent="0.25">
      <c r="A38" s="18">
        <f>ABS(All!B39-All!B38)</f>
        <v>0.5</v>
      </c>
      <c r="B38" s="18">
        <f>ABS(All!C39-All!C38)</f>
        <v>1</v>
      </c>
      <c r="C38" s="33" t="s">
        <v>139</v>
      </c>
    </row>
    <row r="39" spans="1:6" ht="13.5" thickBot="1" x14ac:dyDescent="0.25">
      <c r="A39" s="18">
        <f>ABS(All!B40-All!B39)</f>
        <v>0.5</v>
      </c>
      <c r="B39" s="18">
        <f>ABS(All!C40-All!C39)</f>
        <v>2.5</v>
      </c>
      <c r="C39" s="33" t="s">
        <v>139</v>
      </c>
    </row>
    <row r="40" spans="1:6" ht="13.5" thickBot="1" x14ac:dyDescent="0.25">
      <c r="A40" s="18">
        <f>ABS(All!B41-All!B40)</f>
        <v>0.5</v>
      </c>
      <c r="B40" s="18">
        <f>ABS(All!C41-All!C40)</f>
        <v>1</v>
      </c>
      <c r="C40" s="33" t="s">
        <v>139</v>
      </c>
    </row>
    <row r="41" spans="1:6" ht="13.5" thickBot="1" x14ac:dyDescent="0.25">
      <c r="A41" s="18">
        <f>ABS(All!B42-All!B41)</f>
        <v>0</v>
      </c>
      <c r="B41" s="18">
        <f>ABS(All!C42-All!C41)</f>
        <v>13</v>
      </c>
      <c r="C41" s="33" t="s">
        <v>139</v>
      </c>
    </row>
    <row r="42" spans="1:6" ht="13.5" thickBot="1" x14ac:dyDescent="0.25">
      <c r="A42" s="18">
        <f>ABS(All!B43-All!B42)</f>
        <v>1</v>
      </c>
      <c r="B42" s="18">
        <f>ABS(All!C43-All!C42)</f>
        <v>2.5</v>
      </c>
      <c r="C42" s="33" t="s">
        <v>140</v>
      </c>
      <c r="E42" s="33" t="s">
        <v>146</v>
      </c>
      <c r="F42">
        <f>AVERAGE(B2:B120)</f>
        <v>3.3907563025210083</v>
      </c>
    </row>
    <row r="43" spans="1:6" ht="13.5" thickBot="1" x14ac:dyDescent="0.25">
      <c r="A43" s="18">
        <f>ABS(All!B44-All!B43)</f>
        <v>1</v>
      </c>
      <c r="B43" s="18">
        <f>ABS(All!C44-All!C43)</f>
        <v>7.5</v>
      </c>
      <c r="C43" s="33" t="s">
        <v>140</v>
      </c>
    </row>
    <row r="44" spans="1:6" ht="13.5" thickBot="1" x14ac:dyDescent="0.25">
      <c r="A44" s="18">
        <f>ABS(All!B45-All!B44)</f>
        <v>1</v>
      </c>
      <c r="B44" s="18">
        <f>ABS(All!C45-All!C44)</f>
        <v>4.5</v>
      </c>
      <c r="C44" s="33" t="s">
        <v>140</v>
      </c>
    </row>
    <row r="45" spans="1:6" ht="26.25" thickBot="1" x14ac:dyDescent="0.25">
      <c r="A45" s="18">
        <f>ABS(All!B46-All!B45)</f>
        <v>1</v>
      </c>
      <c r="B45" s="18">
        <f>ABS(All!C46-All!C45)</f>
        <v>12.5</v>
      </c>
      <c r="C45" s="33" t="s">
        <v>140</v>
      </c>
      <c r="E45" s="34" t="s">
        <v>147</v>
      </c>
      <c r="F45">
        <v>2</v>
      </c>
    </row>
    <row r="46" spans="1:6" ht="13.5" thickBot="1" x14ac:dyDescent="0.25">
      <c r="A46" s="18">
        <f>ABS(All!B47-All!B46)</f>
        <v>0</v>
      </c>
      <c r="B46" s="18">
        <f>ABS(All!C47-All!C46)</f>
        <v>5.5</v>
      </c>
      <c r="C46" s="33" t="s">
        <v>140</v>
      </c>
      <c r="E46" s="34"/>
    </row>
    <row r="47" spans="1:6" ht="13.5" thickBot="1" x14ac:dyDescent="0.25">
      <c r="A47" s="18">
        <f>ABS(All!B48-All!B47)</f>
        <v>1.5</v>
      </c>
      <c r="B47" s="18">
        <f>ABS(All!C48-All!C47)</f>
        <v>5.5</v>
      </c>
      <c r="C47" s="33" t="s">
        <v>140</v>
      </c>
    </row>
    <row r="48" spans="1:6" ht="13.5" thickBot="1" x14ac:dyDescent="0.25">
      <c r="A48" s="18">
        <f>ABS(All!B49-All!B48)</f>
        <v>2</v>
      </c>
      <c r="B48" s="18">
        <f>ABS(All!C49-All!C48)</f>
        <v>1.5</v>
      </c>
      <c r="C48" s="33" t="s">
        <v>140</v>
      </c>
    </row>
    <row r="49" spans="1:3" ht="13.5" thickBot="1" x14ac:dyDescent="0.25">
      <c r="A49" s="18">
        <f>ABS(All!B50-All!B49)</f>
        <v>0.5</v>
      </c>
      <c r="B49" s="18">
        <f>ABS(All!C50-All!C49)</f>
        <v>5.5</v>
      </c>
      <c r="C49" s="33" t="s">
        <v>140</v>
      </c>
    </row>
    <row r="50" spans="1:3" ht="13.5" thickBot="1" x14ac:dyDescent="0.25">
      <c r="A50" s="18">
        <f>ABS(All!B51-All!B50)</f>
        <v>1.5</v>
      </c>
      <c r="B50" s="18">
        <f>ABS(All!C51-All!C50)</f>
        <v>3</v>
      </c>
      <c r="C50" s="33" t="s">
        <v>140</v>
      </c>
    </row>
    <row r="51" spans="1:3" ht="13.5" thickBot="1" x14ac:dyDescent="0.25">
      <c r="A51" s="18">
        <f>ABS(All!B52-All!B51)</f>
        <v>0.5</v>
      </c>
      <c r="B51" s="18">
        <f>ABS(All!C52-All!C51)</f>
        <v>6.5</v>
      </c>
      <c r="C51" s="33" t="s">
        <v>140</v>
      </c>
    </row>
    <row r="52" spans="1:3" ht="13.5" thickBot="1" x14ac:dyDescent="0.25">
      <c r="A52" s="18">
        <f>ABS(All!B53-All!B52)</f>
        <v>0.5</v>
      </c>
      <c r="B52" s="18">
        <f>ABS(All!C53-All!C52)</f>
        <v>3</v>
      </c>
      <c r="C52" s="33" t="s">
        <v>140</v>
      </c>
    </row>
    <row r="53" spans="1:3" ht="13.5" thickBot="1" x14ac:dyDescent="0.25">
      <c r="A53" s="18">
        <f>ABS(All!B54-All!B53)</f>
        <v>0</v>
      </c>
      <c r="B53" s="18">
        <f>ABS(All!C54-All!C53)</f>
        <v>5</v>
      </c>
      <c r="C53" s="33" t="s">
        <v>140</v>
      </c>
    </row>
    <row r="54" spans="1:3" ht="13.5" thickBot="1" x14ac:dyDescent="0.25">
      <c r="A54" s="18">
        <f>ABS(All!B55-All!B54)</f>
        <v>0.5</v>
      </c>
      <c r="B54" s="18">
        <f>ABS(All!C55-All!C54)</f>
        <v>2</v>
      </c>
      <c r="C54" s="33" t="s">
        <v>140</v>
      </c>
    </row>
    <row r="55" spans="1:3" ht="13.5" thickBot="1" x14ac:dyDescent="0.25">
      <c r="A55" s="18">
        <f>ABS(All!B56-All!B55)</f>
        <v>1.5</v>
      </c>
      <c r="B55" s="18">
        <f>ABS(All!C56-All!C55)</f>
        <v>8.5</v>
      </c>
      <c r="C55" s="33" t="s">
        <v>140</v>
      </c>
    </row>
    <row r="56" spans="1:3" ht="13.5" thickBot="1" x14ac:dyDescent="0.25">
      <c r="A56" s="18">
        <f>ABS(All!B57-All!B56)</f>
        <v>2</v>
      </c>
      <c r="B56" s="18">
        <f>ABS(All!C57-All!C56)</f>
        <v>0.5</v>
      </c>
      <c r="C56" s="33" t="s">
        <v>140</v>
      </c>
    </row>
    <row r="57" spans="1:3" ht="13.5" thickBot="1" x14ac:dyDescent="0.25">
      <c r="A57" s="18">
        <f>ABS(All!B58-All!B57)</f>
        <v>1</v>
      </c>
      <c r="B57" s="18">
        <f>ABS(All!C58-All!C57)</f>
        <v>10</v>
      </c>
      <c r="C57" s="33" t="s">
        <v>140</v>
      </c>
    </row>
    <row r="58" spans="1:3" ht="13.5" thickBot="1" x14ac:dyDescent="0.25">
      <c r="A58" s="18">
        <f>ABS(All!B59-All!B58)</f>
        <v>0.5</v>
      </c>
      <c r="B58" s="18">
        <f>ABS(All!C59-All!C58)</f>
        <v>6.5</v>
      </c>
      <c r="C58" s="33" t="s">
        <v>140</v>
      </c>
    </row>
    <row r="59" spans="1:3" ht="13.5" thickBot="1" x14ac:dyDescent="0.25">
      <c r="A59" s="18">
        <f>ABS(All!B60-All!B59)</f>
        <v>1</v>
      </c>
      <c r="B59" s="18">
        <f>ABS(All!C60-All!C59)</f>
        <v>6.5</v>
      </c>
      <c r="C59" s="33" t="s">
        <v>140</v>
      </c>
    </row>
    <row r="60" spans="1:3" ht="13.5" thickBot="1" x14ac:dyDescent="0.25">
      <c r="A60" s="18">
        <f>ABS(All!B61-All!B60)</f>
        <v>0</v>
      </c>
      <c r="B60" s="18">
        <f>ABS(All!C61-All!C60)</f>
        <v>6</v>
      </c>
      <c r="C60" s="33" t="s">
        <v>140</v>
      </c>
    </row>
    <row r="61" spans="1:3" ht="13.5" thickBot="1" x14ac:dyDescent="0.25">
      <c r="A61" s="18">
        <f>ABS(All!B62-All!B61)</f>
        <v>0</v>
      </c>
      <c r="B61" s="18">
        <f>ABS(All!C62-All!C61)</f>
        <v>1.5</v>
      </c>
      <c r="C61" s="33" t="s">
        <v>140</v>
      </c>
    </row>
    <row r="62" spans="1:3" ht="13.5" thickBot="1" x14ac:dyDescent="0.25">
      <c r="A62" s="18">
        <f>ABS(All!B63-All!B62)</f>
        <v>0.5</v>
      </c>
      <c r="B62" s="18">
        <f>ABS(All!C63-All!C62)</f>
        <v>5.5</v>
      </c>
      <c r="C62" s="33" t="s">
        <v>138</v>
      </c>
    </row>
    <row r="63" spans="1:3" ht="13.5" thickBot="1" x14ac:dyDescent="0.25">
      <c r="A63" s="18">
        <f>ABS(All!B64-All!B63)</f>
        <v>0.5</v>
      </c>
      <c r="B63" s="18">
        <f>ABS(All!C64-All!C63)</f>
        <v>1</v>
      </c>
      <c r="C63" s="33" t="s">
        <v>138</v>
      </c>
    </row>
    <row r="64" spans="1:3" ht="13.5" thickBot="1" x14ac:dyDescent="0.25">
      <c r="A64" s="18">
        <f>ABS(All!B65-All!B64)</f>
        <v>0</v>
      </c>
      <c r="B64" s="18">
        <f>ABS(All!C65-All!C64)</f>
        <v>2.5</v>
      </c>
      <c r="C64" s="33" t="s">
        <v>138</v>
      </c>
    </row>
    <row r="65" spans="1:3" ht="13.5" thickBot="1" x14ac:dyDescent="0.25">
      <c r="A65" s="18">
        <f>ABS(All!B66-All!B65)</f>
        <v>1</v>
      </c>
      <c r="B65" s="18">
        <f>ABS(All!C66-All!C65)</f>
        <v>3.5</v>
      </c>
      <c r="C65" s="33" t="s">
        <v>138</v>
      </c>
    </row>
    <row r="66" spans="1:3" ht="13.5" thickBot="1" x14ac:dyDescent="0.25">
      <c r="A66" s="18">
        <f>ABS(All!B67-All!B66)</f>
        <v>0</v>
      </c>
      <c r="B66" s="18">
        <f>ABS(All!C67-All!C66)</f>
        <v>0.5</v>
      </c>
      <c r="C66" s="33" t="s">
        <v>138</v>
      </c>
    </row>
    <row r="67" spans="1:3" ht="13.5" thickBot="1" x14ac:dyDescent="0.25">
      <c r="A67" s="18">
        <f>ABS(All!B68-All!B67)</f>
        <v>0</v>
      </c>
      <c r="B67" s="18">
        <f>ABS(All!C68-All!C67)</f>
        <v>4</v>
      </c>
      <c r="C67" s="33" t="s">
        <v>138</v>
      </c>
    </row>
    <row r="68" spans="1:3" ht="13.5" thickBot="1" x14ac:dyDescent="0.25">
      <c r="A68" s="18">
        <f>ABS(All!B69-All!B68)</f>
        <v>0.5</v>
      </c>
      <c r="B68" s="18">
        <f>ABS(All!C69-All!C68)</f>
        <v>5</v>
      </c>
      <c r="C68" s="33" t="s">
        <v>138</v>
      </c>
    </row>
    <row r="69" spans="1:3" ht="13.5" thickBot="1" x14ac:dyDescent="0.25">
      <c r="A69" s="18">
        <f>ABS(All!B70-All!B69)</f>
        <v>0.5</v>
      </c>
      <c r="B69" s="18">
        <f>ABS(All!C70-All!C69)</f>
        <v>3.5</v>
      </c>
      <c r="C69" s="33" t="s">
        <v>138</v>
      </c>
    </row>
    <row r="70" spans="1:3" ht="13.5" thickBot="1" x14ac:dyDescent="0.25">
      <c r="A70" s="18">
        <f>ABS(All!B71-All!B70)</f>
        <v>0.5</v>
      </c>
      <c r="B70" s="18">
        <f>ABS(All!C71-All!C70)</f>
        <v>4</v>
      </c>
      <c r="C70" s="33" t="s">
        <v>138</v>
      </c>
    </row>
    <row r="71" spans="1:3" ht="13.5" thickBot="1" x14ac:dyDescent="0.25">
      <c r="A71" s="18">
        <f>ABS(All!B72-All!B71)</f>
        <v>0.5</v>
      </c>
      <c r="B71" s="18">
        <f>ABS(All!C72-All!C71)</f>
        <v>1.5</v>
      </c>
      <c r="C71" s="33" t="s">
        <v>138</v>
      </c>
    </row>
    <row r="72" spans="1:3" ht="13.5" thickBot="1" x14ac:dyDescent="0.25">
      <c r="A72" s="18">
        <f>ABS(All!B73-All!B72)</f>
        <v>0.5</v>
      </c>
      <c r="B72" s="18">
        <f>ABS(All!C73-All!C72)</f>
        <v>2</v>
      </c>
      <c r="C72" s="33" t="s">
        <v>138</v>
      </c>
    </row>
    <row r="73" spans="1:3" ht="13.5" thickBot="1" x14ac:dyDescent="0.25">
      <c r="A73" s="18">
        <f>ABS(All!B74-All!B73)</f>
        <v>0.5</v>
      </c>
      <c r="B73" s="18">
        <f>ABS(All!C74-All!C73)</f>
        <v>0.5</v>
      </c>
      <c r="C73" s="33" t="s">
        <v>138</v>
      </c>
    </row>
    <row r="74" spans="1:3" ht="13.5" thickBot="1" x14ac:dyDescent="0.25">
      <c r="A74" s="18">
        <f>ABS(All!B75-All!B74)</f>
        <v>0.5</v>
      </c>
      <c r="B74" s="18">
        <f>ABS(All!C75-All!C74)</f>
        <v>5.5</v>
      </c>
      <c r="C74" s="33" t="s">
        <v>138</v>
      </c>
    </row>
    <row r="75" spans="1:3" ht="13.5" thickBot="1" x14ac:dyDescent="0.25">
      <c r="A75" s="18">
        <f>ABS(All!B76-All!B75)</f>
        <v>0.5</v>
      </c>
      <c r="B75" s="18">
        <f>ABS(All!C76-All!C75)</f>
        <v>1.5</v>
      </c>
      <c r="C75" s="33" t="s">
        <v>138</v>
      </c>
    </row>
    <row r="76" spans="1:3" ht="13.5" thickBot="1" x14ac:dyDescent="0.25">
      <c r="A76" s="18">
        <f>ABS(All!B77-All!B76)</f>
        <v>1</v>
      </c>
      <c r="B76" s="18">
        <f>ABS(All!C77-All!C76)</f>
        <v>3</v>
      </c>
      <c r="C76" s="33" t="s">
        <v>138</v>
      </c>
    </row>
    <row r="77" spans="1:3" ht="13.5" thickBot="1" x14ac:dyDescent="0.25">
      <c r="A77" s="18">
        <f>ABS(All!B78-All!B77)</f>
        <v>0.5</v>
      </c>
      <c r="B77" s="18">
        <f>ABS(All!C78-All!C77)</f>
        <v>4.5</v>
      </c>
      <c r="C77" s="33" t="s">
        <v>138</v>
      </c>
    </row>
    <row r="78" spans="1:3" ht="13.5" thickBot="1" x14ac:dyDescent="0.25">
      <c r="A78" s="18">
        <f>ABS(All!B79-All!B78)</f>
        <v>0.5</v>
      </c>
      <c r="B78" s="18">
        <f>ABS(All!C79-All!C78)</f>
        <v>3.5</v>
      </c>
      <c r="C78" s="33" t="s">
        <v>138</v>
      </c>
    </row>
    <row r="79" spans="1:3" ht="13.5" thickBot="1" x14ac:dyDescent="0.25">
      <c r="A79" s="18">
        <f>ABS(All!B80-All!B79)</f>
        <v>0.5</v>
      </c>
      <c r="B79" s="18">
        <f>ABS(All!C80-All!C79)</f>
        <v>2.5</v>
      </c>
      <c r="C79" s="33" t="s">
        <v>138</v>
      </c>
    </row>
    <row r="80" spans="1:3" ht="13.5" thickBot="1" x14ac:dyDescent="0.25">
      <c r="A80" s="18">
        <f>ABS(All!B81-All!B80)</f>
        <v>0.5</v>
      </c>
      <c r="B80" s="18">
        <f>ABS(All!C81-All!C80)</f>
        <v>2</v>
      </c>
      <c r="C80" s="33" t="s">
        <v>138</v>
      </c>
    </row>
    <row r="81" spans="1:3" ht="13.5" thickBot="1" x14ac:dyDescent="0.25">
      <c r="A81" s="18">
        <f>ABS(All!B82-All!B81)</f>
        <v>0.5</v>
      </c>
      <c r="B81" s="18">
        <f>ABS(All!C82-All!C81)</f>
        <v>9.5</v>
      </c>
      <c r="C81" s="33" t="s">
        <v>138</v>
      </c>
    </row>
    <row r="82" spans="1:3" ht="13.5" thickBot="1" x14ac:dyDescent="0.25">
      <c r="A82" s="18">
        <f>ABS(All!B83-All!B82)</f>
        <v>0.5</v>
      </c>
      <c r="B82" s="18">
        <f>ABS(All!C83-All!C82)</f>
        <v>4</v>
      </c>
      <c r="C82" s="33" t="s">
        <v>137</v>
      </c>
    </row>
    <row r="83" spans="1:3" ht="13.5" thickBot="1" x14ac:dyDescent="0.25">
      <c r="A83" s="18">
        <f>ABS(All!B84-All!B83)</f>
        <v>0.5</v>
      </c>
      <c r="B83" s="18">
        <f>ABS(All!C84-All!C83)</f>
        <v>4</v>
      </c>
      <c r="C83" s="33" t="s">
        <v>137</v>
      </c>
    </row>
    <row r="84" spans="1:3" ht="13.5" thickBot="1" x14ac:dyDescent="0.25">
      <c r="A84" s="18">
        <f>ABS(All!B85-All!B84)</f>
        <v>0.5</v>
      </c>
      <c r="B84" s="18">
        <f>ABS(All!C85-All!C84)</f>
        <v>2</v>
      </c>
      <c r="C84" s="33" t="s">
        <v>137</v>
      </c>
    </row>
    <row r="85" spans="1:3" ht="13.5" thickBot="1" x14ac:dyDescent="0.25">
      <c r="A85" s="18">
        <f>ABS(All!B86-All!B85)</f>
        <v>0.5</v>
      </c>
      <c r="B85" s="18">
        <f>ABS(All!C86-All!C85)</f>
        <v>0.5</v>
      </c>
      <c r="C85" s="33" t="s">
        <v>137</v>
      </c>
    </row>
    <row r="86" spans="1:3" ht="13.5" thickBot="1" x14ac:dyDescent="0.25">
      <c r="A86" s="18">
        <f>ABS(All!B87-All!B86)</f>
        <v>0.5</v>
      </c>
      <c r="B86" s="18">
        <f>ABS(All!C87-All!C86)</f>
        <v>3</v>
      </c>
      <c r="C86" s="33" t="s">
        <v>137</v>
      </c>
    </row>
    <row r="87" spans="1:3" ht="13.5" thickBot="1" x14ac:dyDescent="0.25">
      <c r="A87" s="18">
        <f>ABS(All!B88-All!B87)</f>
        <v>1</v>
      </c>
      <c r="B87" s="18">
        <f>ABS(All!C88-All!C87)</f>
        <v>5</v>
      </c>
      <c r="C87" s="33" t="s">
        <v>137</v>
      </c>
    </row>
    <row r="88" spans="1:3" ht="13.5" thickBot="1" x14ac:dyDescent="0.25">
      <c r="A88" s="18">
        <f>ABS(All!B89-All!B88)</f>
        <v>1</v>
      </c>
      <c r="B88" s="18">
        <f>ABS(All!C89-All!C88)</f>
        <v>0.5</v>
      </c>
      <c r="C88" s="33" t="s">
        <v>137</v>
      </c>
    </row>
    <row r="89" spans="1:3" ht="13.5" thickBot="1" x14ac:dyDescent="0.25">
      <c r="A89" s="18">
        <f>ABS(All!B90-All!B89)</f>
        <v>1</v>
      </c>
      <c r="B89" s="18">
        <f>ABS(All!C90-All!C89)</f>
        <v>5</v>
      </c>
      <c r="C89" s="33" t="s">
        <v>137</v>
      </c>
    </row>
    <row r="90" spans="1:3" ht="13.5" thickBot="1" x14ac:dyDescent="0.25">
      <c r="A90" s="18">
        <f>ABS(All!B91-All!B90)</f>
        <v>1</v>
      </c>
      <c r="B90" s="18">
        <f>ABS(All!C91-All!C90)</f>
        <v>7</v>
      </c>
      <c r="C90" s="33" t="s">
        <v>137</v>
      </c>
    </row>
    <row r="91" spans="1:3" ht="13.5" thickBot="1" x14ac:dyDescent="0.25">
      <c r="A91" s="18">
        <f>ABS(All!B92-All!B91)</f>
        <v>2</v>
      </c>
      <c r="B91" s="18">
        <f>ABS(All!C92-All!C91)</f>
        <v>1.5</v>
      </c>
      <c r="C91" s="33" t="s">
        <v>137</v>
      </c>
    </row>
    <row r="92" spans="1:3" ht="13.5" thickBot="1" x14ac:dyDescent="0.25">
      <c r="A92" s="18">
        <f>ABS(All!B93-All!B92)</f>
        <v>1</v>
      </c>
      <c r="B92" s="18">
        <f>ABS(All!C93-All!C92)</f>
        <v>4</v>
      </c>
      <c r="C92" s="33" t="s">
        <v>137</v>
      </c>
    </row>
    <row r="93" spans="1:3" ht="13.5" thickBot="1" x14ac:dyDescent="0.25">
      <c r="A93" s="18">
        <f>ABS(All!B94-All!B93)</f>
        <v>0.5</v>
      </c>
      <c r="B93" s="18">
        <f>ABS(All!C94-All!C93)</f>
        <v>0</v>
      </c>
      <c r="C93" s="33" t="s">
        <v>137</v>
      </c>
    </row>
    <row r="94" spans="1:3" ht="13.5" thickBot="1" x14ac:dyDescent="0.25">
      <c r="A94" s="18">
        <f>ABS(All!B95-All!B94)</f>
        <v>0</v>
      </c>
      <c r="B94" s="18">
        <f>ABS(All!C95-All!C94)</f>
        <v>1</v>
      </c>
      <c r="C94" s="33" t="s">
        <v>137</v>
      </c>
    </row>
    <row r="95" spans="1:3" ht="13.5" thickBot="1" x14ac:dyDescent="0.25">
      <c r="A95" s="18">
        <f>ABS(All!B96-All!B95)</f>
        <v>0.5</v>
      </c>
      <c r="B95" s="18">
        <f>ABS(All!C96-All!C95)</f>
        <v>1.5</v>
      </c>
      <c r="C95" s="33" t="s">
        <v>137</v>
      </c>
    </row>
    <row r="96" spans="1:3" ht="13.5" thickBot="1" x14ac:dyDescent="0.25">
      <c r="A96" s="18">
        <f>ABS(All!B97-All!B96)</f>
        <v>0.5</v>
      </c>
      <c r="B96" s="18">
        <f>ABS(All!C97-All!C96)</f>
        <v>1.5</v>
      </c>
      <c r="C96" s="33" t="s">
        <v>137</v>
      </c>
    </row>
    <row r="97" spans="1:3" ht="13.5" thickBot="1" x14ac:dyDescent="0.25">
      <c r="A97" s="18">
        <f>ABS(All!B98-All!B97)</f>
        <v>1</v>
      </c>
      <c r="B97" s="18">
        <f>ABS(All!C98-All!C97)</f>
        <v>1.5</v>
      </c>
      <c r="C97" s="33" t="s">
        <v>137</v>
      </c>
    </row>
    <row r="98" spans="1:3" ht="13.5" thickBot="1" x14ac:dyDescent="0.25">
      <c r="A98" s="18">
        <f>ABS(All!B99-All!B98)</f>
        <v>0.5</v>
      </c>
      <c r="B98" s="18">
        <f>ABS(All!C99-All!C98)</f>
        <v>3</v>
      </c>
      <c r="C98" s="33" t="s">
        <v>137</v>
      </c>
    </row>
    <row r="99" spans="1:3" ht="13.5" thickBot="1" x14ac:dyDescent="0.25">
      <c r="A99" s="18">
        <f>ABS(All!B100-All!B99)</f>
        <v>1</v>
      </c>
      <c r="B99" s="18">
        <f>ABS(All!C100-All!C99)</f>
        <v>3</v>
      </c>
      <c r="C99" s="33" t="s">
        <v>137</v>
      </c>
    </row>
    <row r="100" spans="1:3" ht="13.5" thickBot="1" x14ac:dyDescent="0.25">
      <c r="A100" s="18">
        <f>ABS(All!B101-All!B100)</f>
        <v>0.5</v>
      </c>
      <c r="B100" s="18">
        <f>ABS(All!C101-All!C100)</f>
        <v>2</v>
      </c>
      <c r="C100" s="33" t="s">
        <v>137</v>
      </c>
    </row>
    <row r="101" spans="1:3" ht="13.5" thickBot="1" x14ac:dyDescent="0.25">
      <c r="A101" s="18">
        <f>ABS(All!B102-All!B101)</f>
        <v>1.5</v>
      </c>
      <c r="B101" s="18">
        <f>ABS(All!C102-All!C101)</f>
        <v>2.5</v>
      </c>
      <c r="C101" s="33" t="s">
        <v>137</v>
      </c>
    </row>
    <row r="102" spans="1:3" ht="13.5" thickBot="1" x14ac:dyDescent="0.25">
      <c r="A102" s="18">
        <f>ABS(All!B103-All!B102)</f>
        <v>2</v>
      </c>
      <c r="B102" s="18">
        <f>ABS(All!C103-All!C102)</f>
        <v>2</v>
      </c>
      <c r="C102" s="33" t="s">
        <v>136</v>
      </c>
    </row>
    <row r="103" spans="1:3" ht="13.5" thickBot="1" x14ac:dyDescent="0.25">
      <c r="A103" s="18">
        <f>ABS(All!B104-All!B103)</f>
        <v>0.5</v>
      </c>
      <c r="B103" s="18">
        <f>ABS(All!C104-All!C103)</f>
        <v>6.5</v>
      </c>
      <c r="C103" s="33" t="s">
        <v>136</v>
      </c>
    </row>
    <row r="104" spans="1:3" ht="13.5" thickBot="1" x14ac:dyDescent="0.25">
      <c r="A104" s="18">
        <f>ABS(All!B105-All!B104)</f>
        <v>1</v>
      </c>
      <c r="B104" s="18">
        <f>ABS(All!C105-All!C104)</f>
        <v>1</v>
      </c>
      <c r="C104" s="33" t="s">
        <v>136</v>
      </c>
    </row>
    <row r="105" spans="1:3" ht="13.5" thickBot="1" x14ac:dyDescent="0.25">
      <c r="A105" s="18">
        <f>ABS(All!B106-All!B105)</f>
        <v>0.5</v>
      </c>
      <c r="B105" s="18">
        <f>ABS(All!C106-All!C105)</f>
        <v>1.5</v>
      </c>
      <c r="C105" s="33" t="s">
        <v>136</v>
      </c>
    </row>
    <row r="106" spans="1:3" ht="13.5" thickBot="1" x14ac:dyDescent="0.25">
      <c r="A106" s="18">
        <f>ABS(All!B107-All!B106)</f>
        <v>0</v>
      </c>
      <c r="B106" s="18">
        <f>ABS(All!C107-All!C106)</f>
        <v>1.5</v>
      </c>
      <c r="C106" s="33" t="s">
        <v>136</v>
      </c>
    </row>
    <row r="107" spans="1:3" ht="13.5" thickBot="1" x14ac:dyDescent="0.25">
      <c r="A107" s="18">
        <f>ABS(All!B108-All!B107)</f>
        <v>0.5</v>
      </c>
      <c r="B107" s="18">
        <f>ABS(All!C108-All!C107)</f>
        <v>0</v>
      </c>
      <c r="C107" s="33" t="s">
        <v>136</v>
      </c>
    </row>
    <row r="108" spans="1:3" ht="13.5" thickBot="1" x14ac:dyDescent="0.25">
      <c r="A108" s="18">
        <f>ABS(All!B109-All!B108)</f>
        <v>0</v>
      </c>
      <c r="B108" s="18">
        <f>ABS(All!C109-All!C108)</f>
        <v>2.5</v>
      </c>
      <c r="C108" s="33" t="s">
        <v>136</v>
      </c>
    </row>
    <row r="109" spans="1:3" ht="13.5" thickBot="1" x14ac:dyDescent="0.25">
      <c r="A109" s="18">
        <f>ABS(All!B110-All!B109)</f>
        <v>1.5</v>
      </c>
      <c r="B109" s="18">
        <f>ABS(All!C110-All!C109)</f>
        <v>5</v>
      </c>
      <c r="C109" s="33" t="s">
        <v>136</v>
      </c>
    </row>
    <row r="110" spans="1:3" ht="13.5" thickBot="1" x14ac:dyDescent="0.25">
      <c r="A110" s="18">
        <f>ABS(All!B111-All!B110)</f>
        <v>1.5</v>
      </c>
      <c r="B110" s="18">
        <f>ABS(All!C111-All!C110)</f>
        <v>3</v>
      </c>
      <c r="C110" s="33" t="s">
        <v>136</v>
      </c>
    </row>
    <row r="111" spans="1:3" ht="13.5" thickBot="1" x14ac:dyDescent="0.25">
      <c r="A111" s="18">
        <f>ABS(All!B112-All!B111)</f>
        <v>0.5</v>
      </c>
      <c r="B111" s="18">
        <f>ABS(All!C112-All!C111)</f>
        <v>2</v>
      </c>
      <c r="C111" s="33" t="s">
        <v>136</v>
      </c>
    </row>
    <row r="112" spans="1:3" ht="13.5" thickBot="1" x14ac:dyDescent="0.25">
      <c r="A112" s="18">
        <f>ABS(All!B113-All!B112)</f>
        <v>0</v>
      </c>
      <c r="B112" s="18">
        <f>ABS(All!C113-All!C112)</f>
        <v>2.5</v>
      </c>
      <c r="C112" s="33" t="s">
        <v>136</v>
      </c>
    </row>
    <row r="113" spans="1:3" ht="13.5" thickBot="1" x14ac:dyDescent="0.25">
      <c r="A113" s="18">
        <f>ABS(All!B114-All!B113)</f>
        <v>0.5</v>
      </c>
      <c r="B113" s="18">
        <f>ABS(All!C114-All!C113)</f>
        <v>1</v>
      </c>
      <c r="C113" s="33" t="s">
        <v>136</v>
      </c>
    </row>
    <row r="114" spans="1:3" ht="13.5" thickBot="1" x14ac:dyDescent="0.25">
      <c r="A114" s="18">
        <f>ABS(All!B115-All!B114)</f>
        <v>1</v>
      </c>
      <c r="B114" s="18">
        <f>ABS(All!C115-All!C114)</f>
        <v>3.5</v>
      </c>
      <c r="C114" s="33" t="s">
        <v>136</v>
      </c>
    </row>
    <row r="115" spans="1:3" ht="13.5" thickBot="1" x14ac:dyDescent="0.25">
      <c r="A115" s="18">
        <f>ABS(All!B116-All!B115)</f>
        <v>1.5</v>
      </c>
      <c r="B115" s="18">
        <f>ABS(All!C116-All!C115)</f>
        <v>5.5</v>
      </c>
      <c r="C115" s="33" t="s">
        <v>136</v>
      </c>
    </row>
    <row r="116" spans="1:3" ht="13.5" thickBot="1" x14ac:dyDescent="0.25">
      <c r="A116" s="18">
        <f>ABS(All!B117-All!B116)</f>
        <v>0.5</v>
      </c>
      <c r="B116" s="18">
        <f>ABS(All!C117-All!C116)</f>
        <v>0.5</v>
      </c>
      <c r="C116" s="33" t="s">
        <v>136</v>
      </c>
    </row>
    <row r="117" spans="1:3" ht="13.5" thickBot="1" x14ac:dyDescent="0.25">
      <c r="A117" s="18">
        <f>ABS(All!B118-All!B117)</f>
        <v>0.5</v>
      </c>
      <c r="B117" s="18">
        <f>ABS(All!C118-All!C117)</f>
        <v>2.5</v>
      </c>
      <c r="C117" s="33" t="s">
        <v>136</v>
      </c>
    </row>
    <row r="118" spans="1:3" ht="13.5" thickBot="1" x14ac:dyDescent="0.25">
      <c r="A118" s="18">
        <f>ABS(All!B119-All!B118)</f>
        <v>1</v>
      </c>
      <c r="B118" s="18">
        <f>ABS(All!C119-All!C118)</f>
        <v>0.5</v>
      </c>
      <c r="C118" s="33" t="s">
        <v>136</v>
      </c>
    </row>
    <row r="119" spans="1:3" ht="13.5" thickBot="1" x14ac:dyDescent="0.25">
      <c r="A119" s="18">
        <f>ABS(All!B120-All!B119)</f>
        <v>1</v>
      </c>
      <c r="B119" s="18">
        <f>ABS(All!C120-All!C119)</f>
        <v>4.5</v>
      </c>
      <c r="C119" s="33" t="s">
        <v>136</v>
      </c>
    </row>
    <row r="120" spans="1:3" ht="13.5" thickBot="1" x14ac:dyDescent="0.25">
      <c r="A120" s="18">
        <f>ABS(All!B121-All!B120)</f>
        <v>0.5</v>
      </c>
      <c r="B120" s="18">
        <f>ABS(All!C121-All!C120)</f>
        <v>0</v>
      </c>
      <c r="C120" s="33" t="s">
        <v>136</v>
      </c>
    </row>
    <row r="121" spans="1:3" ht="13.5" thickBot="1" x14ac:dyDescent="0.25">
      <c r="A121" s="18"/>
      <c r="C121" s="33"/>
    </row>
    <row r="122" spans="1:3" ht="13.5" thickBot="1" x14ac:dyDescent="0.25">
      <c r="A122" s="18"/>
      <c r="C122" s="33"/>
    </row>
    <row r="123" spans="1:3" ht="13.5" thickBot="1" x14ac:dyDescent="0.25">
      <c r="A123" s="18"/>
      <c r="C123" s="33"/>
    </row>
    <row r="124" spans="1:3" ht="13.5" thickBot="1" x14ac:dyDescent="0.25">
      <c r="A124" s="18"/>
      <c r="C124" s="33"/>
    </row>
    <row r="125" spans="1:3" ht="13.5" thickBot="1" x14ac:dyDescent="0.25">
      <c r="A125" s="18"/>
      <c r="C125" s="33"/>
    </row>
    <row r="126" spans="1:3" x14ac:dyDescent="0.2">
      <c r="C126" s="33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2"/>
  <sheetViews>
    <sheetView tabSelected="1" workbookViewId="0">
      <selection activeCell="M33" sqref="M33"/>
    </sheetView>
  </sheetViews>
  <sheetFormatPr defaultRowHeight="12.75" x14ac:dyDescent="0.2"/>
  <cols>
    <col min="5" max="5" width="9.28515625" customWidth="1"/>
  </cols>
  <sheetData>
    <row r="1" spans="1:6" ht="38.25" x14ac:dyDescent="0.2">
      <c r="A1" t="s">
        <v>9</v>
      </c>
      <c r="B1" t="s">
        <v>10</v>
      </c>
      <c r="C1" t="s">
        <v>11</v>
      </c>
      <c r="E1" s="34" t="s">
        <v>148</v>
      </c>
      <c r="F1" s="34" t="s">
        <v>149</v>
      </c>
    </row>
    <row r="2" spans="1:6" x14ac:dyDescent="0.2">
      <c r="A2" t="str">
        <f>All!A2</f>
        <v>E1</v>
      </c>
      <c r="B2">
        <f>All!B2</f>
        <v>0</v>
      </c>
      <c r="C2">
        <f>All!C2</f>
        <v>6.5</v>
      </c>
    </row>
    <row r="3" spans="1:6" x14ac:dyDescent="0.2">
      <c r="A3" t="str">
        <f>All!A3</f>
        <v>E2</v>
      </c>
      <c r="B3">
        <f>All!B3</f>
        <v>0.5</v>
      </c>
      <c r="C3">
        <f>All!C3</f>
        <v>-3.5</v>
      </c>
      <c r="E3" t="e">
        <v>#N/A</v>
      </c>
      <c r="F3" t="e">
        <v>#N/A</v>
      </c>
    </row>
    <row r="4" spans="1:6" x14ac:dyDescent="0.2">
      <c r="A4" t="str">
        <f>All!A4</f>
        <v>E3</v>
      </c>
      <c r="B4">
        <f>All!B4</f>
        <v>1</v>
      </c>
      <c r="C4">
        <f>All!C4</f>
        <v>-3.5</v>
      </c>
      <c r="E4" t="e">
        <v>#N/A</v>
      </c>
      <c r="F4" t="e">
        <v>#N/A</v>
      </c>
    </row>
    <row r="5" spans="1:6" x14ac:dyDescent="0.2">
      <c r="A5" t="str">
        <f>All!A5</f>
        <v>E4</v>
      </c>
      <c r="B5">
        <f>All!B5</f>
        <v>-0.5</v>
      </c>
      <c r="C5">
        <f>All!C5</f>
        <v>-8.5</v>
      </c>
      <c r="E5">
        <f t="shared" ref="E5:E36" si="0">AVERAGE(B2:B4)</f>
        <v>0.5</v>
      </c>
      <c r="F5">
        <f t="shared" ref="F5:F36" si="1">AVERAGE(C2:C4)</f>
        <v>-0.16666666666666666</v>
      </c>
    </row>
    <row r="6" spans="1:6" x14ac:dyDescent="0.2">
      <c r="A6" t="str">
        <f>All!A6</f>
        <v>E5</v>
      </c>
      <c r="B6">
        <f>All!B6</f>
        <v>-0.5</v>
      </c>
      <c r="C6">
        <f>All!C6</f>
        <v>-2.5</v>
      </c>
      <c r="E6">
        <f t="shared" si="0"/>
        <v>0.33333333333333331</v>
      </c>
      <c r="F6">
        <f t="shared" si="1"/>
        <v>-5.166666666666667</v>
      </c>
    </row>
    <row r="7" spans="1:6" x14ac:dyDescent="0.2">
      <c r="A7" t="str">
        <f>All!A7</f>
        <v>E6</v>
      </c>
      <c r="B7">
        <f>All!B7</f>
        <v>0</v>
      </c>
      <c r="C7">
        <f>All!C7</f>
        <v>0</v>
      </c>
      <c r="E7">
        <f t="shared" si="0"/>
        <v>0</v>
      </c>
      <c r="F7">
        <f t="shared" si="1"/>
        <v>-4.833333333333333</v>
      </c>
    </row>
    <row r="8" spans="1:6" x14ac:dyDescent="0.2">
      <c r="A8" t="str">
        <f>All!A8</f>
        <v>E7</v>
      </c>
      <c r="B8">
        <f>All!B8</f>
        <v>0.5</v>
      </c>
      <c r="C8">
        <f>All!C8</f>
        <v>3.5</v>
      </c>
      <c r="E8">
        <f t="shared" si="0"/>
        <v>-0.33333333333333331</v>
      </c>
      <c r="F8">
        <f t="shared" si="1"/>
        <v>-3.6666666666666665</v>
      </c>
    </row>
    <row r="9" spans="1:6" x14ac:dyDescent="0.2">
      <c r="A9" t="str">
        <f>All!A9</f>
        <v>E8</v>
      </c>
      <c r="B9">
        <f>All!B9</f>
        <v>2</v>
      </c>
      <c r="C9">
        <f>All!C9</f>
        <v>3</v>
      </c>
      <c r="E9">
        <f t="shared" si="0"/>
        <v>0</v>
      </c>
      <c r="F9">
        <f t="shared" si="1"/>
        <v>0.33333333333333331</v>
      </c>
    </row>
    <row r="10" spans="1:6" x14ac:dyDescent="0.2">
      <c r="A10" t="str">
        <f>All!A10</f>
        <v>E9</v>
      </c>
      <c r="B10">
        <f>All!B10</f>
        <v>0.5</v>
      </c>
      <c r="C10">
        <f>All!C10</f>
        <v>-6</v>
      </c>
      <c r="E10">
        <f t="shared" si="0"/>
        <v>0.83333333333333337</v>
      </c>
      <c r="F10">
        <f t="shared" si="1"/>
        <v>2.1666666666666665</v>
      </c>
    </row>
    <row r="11" spans="1:6" x14ac:dyDescent="0.2">
      <c r="A11" t="str">
        <f>All!A11</f>
        <v>E10</v>
      </c>
      <c r="B11">
        <f>All!B11</f>
        <v>0.5</v>
      </c>
      <c r="C11">
        <f>All!C11</f>
        <v>-2</v>
      </c>
      <c r="E11">
        <f t="shared" si="0"/>
        <v>1</v>
      </c>
      <c r="F11">
        <f t="shared" si="1"/>
        <v>0.16666666666666666</v>
      </c>
    </row>
    <row r="12" spans="1:6" x14ac:dyDescent="0.2">
      <c r="A12" t="str">
        <f>All!A12</f>
        <v>E11</v>
      </c>
      <c r="B12">
        <f>All!B12</f>
        <v>0.5</v>
      </c>
      <c r="C12">
        <f>All!C12</f>
        <v>-3.5</v>
      </c>
      <c r="E12">
        <f t="shared" si="0"/>
        <v>1</v>
      </c>
      <c r="F12">
        <f t="shared" si="1"/>
        <v>-1.6666666666666667</v>
      </c>
    </row>
    <row r="13" spans="1:6" x14ac:dyDescent="0.2">
      <c r="A13" t="str">
        <f>All!A13</f>
        <v>E12</v>
      </c>
      <c r="B13">
        <f>All!B13</f>
        <v>-0.5</v>
      </c>
      <c r="C13">
        <f>All!C13</f>
        <v>-1.5</v>
      </c>
      <c r="E13">
        <f t="shared" si="0"/>
        <v>0.5</v>
      </c>
      <c r="F13">
        <f t="shared" si="1"/>
        <v>-3.8333333333333335</v>
      </c>
    </row>
    <row r="14" spans="1:6" x14ac:dyDescent="0.2">
      <c r="A14" t="str">
        <f>All!A14</f>
        <v>E13</v>
      </c>
      <c r="B14">
        <f>All!B14</f>
        <v>0</v>
      </c>
      <c r="C14">
        <f>All!C14</f>
        <v>-7.5</v>
      </c>
      <c r="E14">
        <f t="shared" si="0"/>
        <v>0.16666666666666666</v>
      </c>
      <c r="F14">
        <f t="shared" si="1"/>
        <v>-2.3333333333333335</v>
      </c>
    </row>
    <row r="15" spans="1:6" x14ac:dyDescent="0.2">
      <c r="A15" t="str">
        <f>All!A15</f>
        <v>E14</v>
      </c>
      <c r="B15">
        <f>All!B15</f>
        <v>-0.5</v>
      </c>
      <c r="C15">
        <f>All!C15</f>
        <v>-2.5</v>
      </c>
      <c r="E15">
        <f t="shared" si="0"/>
        <v>0</v>
      </c>
      <c r="F15">
        <f t="shared" si="1"/>
        <v>-4.166666666666667</v>
      </c>
    </row>
    <row r="16" spans="1:6" x14ac:dyDescent="0.2">
      <c r="A16" t="str">
        <f>All!A16</f>
        <v>E15</v>
      </c>
      <c r="B16">
        <f>All!B16</f>
        <v>0</v>
      </c>
      <c r="C16">
        <f>All!C16</f>
        <v>-4.5</v>
      </c>
      <c r="E16">
        <f t="shared" si="0"/>
        <v>-0.33333333333333331</v>
      </c>
      <c r="F16">
        <f t="shared" si="1"/>
        <v>-3.8333333333333335</v>
      </c>
    </row>
    <row r="17" spans="1:6" x14ac:dyDescent="0.2">
      <c r="A17" t="str">
        <f>All!A17</f>
        <v>E16</v>
      </c>
      <c r="B17">
        <f>All!B17</f>
        <v>-0.5</v>
      </c>
      <c r="C17">
        <f>All!C17</f>
        <v>-8.5</v>
      </c>
      <c r="E17">
        <f t="shared" si="0"/>
        <v>-0.16666666666666666</v>
      </c>
      <c r="F17">
        <f t="shared" si="1"/>
        <v>-4.833333333333333</v>
      </c>
    </row>
    <row r="18" spans="1:6" x14ac:dyDescent="0.2">
      <c r="A18" t="str">
        <f>All!A18</f>
        <v>E17</v>
      </c>
      <c r="B18">
        <f>All!B18</f>
        <v>0.5</v>
      </c>
      <c r="C18">
        <f>All!C18</f>
        <v>-2.5</v>
      </c>
      <c r="E18">
        <f t="shared" si="0"/>
        <v>-0.33333333333333331</v>
      </c>
      <c r="F18">
        <f t="shared" si="1"/>
        <v>-5.166666666666667</v>
      </c>
    </row>
    <row r="19" spans="1:6" x14ac:dyDescent="0.2">
      <c r="A19" t="str">
        <f>All!A19</f>
        <v>E18</v>
      </c>
      <c r="B19">
        <f>All!B19</f>
        <v>1</v>
      </c>
      <c r="C19">
        <f>All!C19</f>
        <v>-5</v>
      </c>
      <c r="E19">
        <f t="shared" si="0"/>
        <v>0</v>
      </c>
      <c r="F19">
        <f t="shared" si="1"/>
        <v>-5.166666666666667</v>
      </c>
    </row>
    <row r="20" spans="1:6" x14ac:dyDescent="0.2">
      <c r="A20" t="str">
        <f>All!A20</f>
        <v>E19</v>
      </c>
      <c r="B20">
        <f>All!B20</f>
        <v>-1.5</v>
      </c>
      <c r="C20">
        <f>All!C20</f>
        <v>-0.5</v>
      </c>
      <c r="E20">
        <f t="shared" si="0"/>
        <v>0.33333333333333331</v>
      </c>
      <c r="F20">
        <f t="shared" si="1"/>
        <v>-5.333333333333333</v>
      </c>
    </row>
    <row r="21" spans="1:6" x14ac:dyDescent="0.2">
      <c r="A21" t="str">
        <f>All!A21</f>
        <v>E20</v>
      </c>
      <c r="B21">
        <f>All!B21</f>
        <v>1</v>
      </c>
      <c r="C21">
        <f>All!C21</f>
        <v>4</v>
      </c>
      <c r="E21">
        <f t="shared" si="0"/>
        <v>0</v>
      </c>
      <c r="F21">
        <f t="shared" si="1"/>
        <v>-2.6666666666666665</v>
      </c>
    </row>
    <row r="22" spans="1:6" x14ac:dyDescent="0.2">
      <c r="A22" t="str">
        <f>All!A22</f>
        <v>T1</v>
      </c>
      <c r="B22">
        <f>All!B22</f>
        <v>1</v>
      </c>
      <c r="C22">
        <f>All!C22</f>
        <v>-3</v>
      </c>
      <c r="E22">
        <f t="shared" si="0"/>
        <v>0.16666666666666666</v>
      </c>
      <c r="F22">
        <f t="shared" si="1"/>
        <v>-0.5</v>
      </c>
    </row>
    <row r="23" spans="1:6" x14ac:dyDescent="0.2">
      <c r="A23" t="str">
        <f>All!A23</f>
        <v>T2</v>
      </c>
      <c r="B23">
        <f>All!B23</f>
        <v>0</v>
      </c>
      <c r="C23">
        <f>All!C23</f>
        <v>-0.5</v>
      </c>
      <c r="E23">
        <f t="shared" si="0"/>
        <v>0.16666666666666666</v>
      </c>
      <c r="F23">
        <f t="shared" si="1"/>
        <v>0.16666666666666666</v>
      </c>
    </row>
    <row r="24" spans="1:6" x14ac:dyDescent="0.2">
      <c r="A24" t="str">
        <f>All!A24</f>
        <v>T3</v>
      </c>
      <c r="B24">
        <f>All!B24</f>
        <v>0</v>
      </c>
      <c r="C24">
        <f>All!C24</f>
        <v>-4.5</v>
      </c>
      <c r="E24">
        <f t="shared" si="0"/>
        <v>0.66666666666666663</v>
      </c>
      <c r="F24">
        <f t="shared" si="1"/>
        <v>0.16666666666666666</v>
      </c>
    </row>
    <row r="25" spans="1:6" x14ac:dyDescent="0.2">
      <c r="A25" t="str">
        <f>All!A25</f>
        <v>T4</v>
      </c>
      <c r="B25">
        <f>All!B25</f>
        <v>1</v>
      </c>
      <c r="C25">
        <f>All!C25</f>
        <v>-4</v>
      </c>
      <c r="E25">
        <f t="shared" si="0"/>
        <v>0.33333333333333331</v>
      </c>
      <c r="F25">
        <f t="shared" si="1"/>
        <v>-2.6666666666666665</v>
      </c>
    </row>
    <row r="26" spans="1:6" x14ac:dyDescent="0.2">
      <c r="A26" t="str">
        <f>All!A26</f>
        <v>T5</v>
      </c>
      <c r="B26">
        <f>All!B26</f>
        <v>-0.5</v>
      </c>
      <c r="C26">
        <f>All!C26</f>
        <v>-1.5</v>
      </c>
      <c r="E26">
        <f t="shared" si="0"/>
        <v>0.33333333333333331</v>
      </c>
      <c r="F26">
        <f t="shared" si="1"/>
        <v>-3</v>
      </c>
    </row>
    <row r="27" spans="1:6" x14ac:dyDescent="0.2">
      <c r="A27" t="str">
        <f>All!A27</f>
        <v>T6</v>
      </c>
      <c r="B27">
        <f>All!B27</f>
        <v>0</v>
      </c>
      <c r="C27">
        <f>All!C27</f>
        <v>-3</v>
      </c>
      <c r="E27">
        <f t="shared" si="0"/>
        <v>0.16666666666666666</v>
      </c>
      <c r="F27">
        <f t="shared" si="1"/>
        <v>-3.3333333333333335</v>
      </c>
    </row>
    <row r="28" spans="1:6" x14ac:dyDescent="0.2">
      <c r="A28" t="str">
        <f>All!A28</f>
        <v>T7</v>
      </c>
      <c r="B28">
        <f>All!B28</f>
        <v>0</v>
      </c>
      <c r="C28">
        <f>All!C28</f>
        <v>-2</v>
      </c>
      <c r="E28">
        <f t="shared" si="0"/>
        <v>0.16666666666666666</v>
      </c>
      <c r="F28">
        <f t="shared" si="1"/>
        <v>-2.8333333333333335</v>
      </c>
    </row>
    <row r="29" spans="1:6" x14ac:dyDescent="0.2">
      <c r="A29" t="str">
        <f>All!A29</f>
        <v>T8</v>
      </c>
      <c r="B29">
        <f>All!B29</f>
        <v>-0.5</v>
      </c>
      <c r="C29">
        <f>All!C29</f>
        <v>1.5</v>
      </c>
      <c r="E29">
        <f t="shared" si="0"/>
        <v>-0.16666666666666666</v>
      </c>
      <c r="F29">
        <f t="shared" si="1"/>
        <v>-2.1666666666666665</v>
      </c>
    </row>
    <row r="30" spans="1:6" x14ac:dyDescent="0.2">
      <c r="A30" t="str">
        <f>All!A30</f>
        <v>T9</v>
      </c>
      <c r="B30">
        <f>All!B30</f>
        <v>0</v>
      </c>
      <c r="C30">
        <f>All!C30</f>
        <v>-1.5</v>
      </c>
      <c r="E30">
        <f t="shared" si="0"/>
        <v>-0.16666666666666666</v>
      </c>
      <c r="F30">
        <f t="shared" si="1"/>
        <v>-1.1666666666666667</v>
      </c>
    </row>
    <row r="31" spans="1:6" x14ac:dyDescent="0.2">
      <c r="A31" t="str">
        <f>All!A31</f>
        <v>T10</v>
      </c>
      <c r="B31">
        <f>All!B31</f>
        <v>0.5</v>
      </c>
      <c r="C31">
        <f>All!C31</f>
        <v>-3</v>
      </c>
      <c r="E31">
        <f t="shared" si="0"/>
        <v>-0.16666666666666666</v>
      </c>
      <c r="F31">
        <f t="shared" si="1"/>
        <v>-0.66666666666666663</v>
      </c>
    </row>
    <row r="32" spans="1:6" x14ac:dyDescent="0.2">
      <c r="A32" t="str">
        <f>All!A32</f>
        <v>T11</v>
      </c>
      <c r="B32">
        <f>All!B32</f>
        <v>0.5</v>
      </c>
      <c r="C32">
        <f>All!C32</f>
        <v>-1</v>
      </c>
      <c r="E32">
        <f t="shared" si="0"/>
        <v>0</v>
      </c>
      <c r="F32">
        <f t="shared" si="1"/>
        <v>-1</v>
      </c>
    </row>
    <row r="33" spans="1:6" x14ac:dyDescent="0.2">
      <c r="A33" t="str">
        <f>All!A33</f>
        <v>T12</v>
      </c>
      <c r="B33">
        <f>All!B33</f>
        <v>0.5</v>
      </c>
      <c r="C33">
        <f>All!C33</f>
        <v>-6.5</v>
      </c>
      <c r="E33">
        <f t="shared" si="0"/>
        <v>0.33333333333333331</v>
      </c>
      <c r="F33">
        <f t="shared" si="1"/>
        <v>-1.8333333333333333</v>
      </c>
    </row>
    <row r="34" spans="1:6" x14ac:dyDescent="0.2">
      <c r="A34" t="str">
        <f>All!A34</f>
        <v>T13</v>
      </c>
      <c r="B34">
        <f>All!B34</f>
        <v>0</v>
      </c>
      <c r="C34">
        <f>All!C34</f>
        <v>-6.5</v>
      </c>
      <c r="E34">
        <f t="shared" si="0"/>
        <v>0.5</v>
      </c>
      <c r="F34">
        <f t="shared" si="1"/>
        <v>-3.5</v>
      </c>
    </row>
    <row r="35" spans="1:6" x14ac:dyDescent="0.2">
      <c r="A35" t="str">
        <f>All!A35</f>
        <v>T14</v>
      </c>
      <c r="B35">
        <f>All!B35</f>
        <v>0.5</v>
      </c>
      <c r="C35">
        <f>All!C35</f>
        <v>-5</v>
      </c>
      <c r="E35">
        <f t="shared" si="0"/>
        <v>0.33333333333333331</v>
      </c>
      <c r="F35">
        <f t="shared" si="1"/>
        <v>-4.666666666666667</v>
      </c>
    </row>
    <row r="36" spans="1:6" x14ac:dyDescent="0.2">
      <c r="A36" t="str">
        <f>All!A36</f>
        <v>T15</v>
      </c>
      <c r="B36">
        <f>All!B36</f>
        <v>1.5</v>
      </c>
      <c r="C36">
        <f>All!C36</f>
        <v>-2.5</v>
      </c>
      <c r="E36">
        <f t="shared" si="0"/>
        <v>0.33333333333333331</v>
      </c>
      <c r="F36">
        <f t="shared" si="1"/>
        <v>-6</v>
      </c>
    </row>
    <row r="37" spans="1:6" x14ac:dyDescent="0.2">
      <c r="A37" t="str">
        <f>All!A37</f>
        <v>T16</v>
      </c>
      <c r="B37">
        <f>All!B37</f>
        <v>0</v>
      </c>
      <c r="C37">
        <f>All!C37</f>
        <v>-4</v>
      </c>
      <c r="E37">
        <f t="shared" ref="E37:E68" si="2">AVERAGE(B34:B36)</f>
        <v>0.66666666666666663</v>
      </c>
      <c r="F37">
        <f t="shared" ref="F37:F68" si="3">AVERAGE(C34:C36)</f>
        <v>-4.666666666666667</v>
      </c>
    </row>
    <row r="38" spans="1:6" x14ac:dyDescent="0.2">
      <c r="A38" t="str">
        <f>All!A38</f>
        <v>T17</v>
      </c>
      <c r="B38">
        <f>All!B38</f>
        <v>0.5</v>
      </c>
      <c r="C38">
        <f>All!C38</f>
        <v>-4</v>
      </c>
      <c r="E38">
        <f t="shared" si="2"/>
        <v>0.66666666666666663</v>
      </c>
      <c r="F38">
        <f t="shared" si="3"/>
        <v>-3.8333333333333335</v>
      </c>
    </row>
    <row r="39" spans="1:6" x14ac:dyDescent="0.2">
      <c r="A39" t="str">
        <f>All!A39</f>
        <v>T18</v>
      </c>
      <c r="B39">
        <f>All!B39</f>
        <v>0</v>
      </c>
      <c r="C39">
        <f>All!C39</f>
        <v>-3</v>
      </c>
      <c r="E39">
        <f t="shared" si="2"/>
        <v>0.66666666666666663</v>
      </c>
      <c r="F39">
        <f t="shared" si="3"/>
        <v>-3.5</v>
      </c>
    </row>
    <row r="40" spans="1:6" x14ac:dyDescent="0.2">
      <c r="A40" t="str">
        <f>All!A40</f>
        <v>T19</v>
      </c>
      <c r="B40">
        <f>All!B40</f>
        <v>0.5</v>
      </c>
      <c r="C40">
        <f>All!C40</f>
        <v>-5.5</v>
      </c>
      <c r="E40">
        <f t="shared" si="2"/>
        <v>0.16666666666666666</v>
      </c>
      <c r="F40">
        <f t="shared" si="3"/>
        <v>-3.6666666666666665</v>
      </c>
    </row>
    <row r="41" spans="1:6" x14ac:dyDescent="0.2">
      <c r="A41" t="str">
        <f>All!A41</f>
        <v>T20</v>
      </c>
      <c r="B41">
        <f>All!B41</f>
        <v>0</v>
      </c>
      <c r="C41">
        <f>All!C41</f>
        <v>-4.5</v>
      </c>
      <c r="E41">
        <f t="shared" si="2"/>
        <v>0.33333333333333331</v>
      </c>
      <c r="F41">
        <f t="shared" si="3"/>
        <v>-4.166666666666667</v>
      </c>
    </row>
    <row r="42" spans="1:6" x14ac:dyDescent="0.2">
      <c r="A42" t="str">
        <f>All!A42</f>
        <v>H1</v>
      </c>
      <c r="B42">
        <f>All!B42</f>
        <v>0</v>
      </c>
      <c r="C42">
        <f>All!C42</f>
        <v>8.5</v>
      </c>
      <c r="E42">
        <f t="shared" si="2"/>
        <v>0.16666666666666666</v>
      </c>
      <c r="F42">
        <f t="shared" si="3"/>
        <v>-4.333333333333333</v>
      </c>
    </row>
    <row r="43" spans="1:6" x14ac:dyDescent="0.2">
      <c r="A43" t="str">
        <f>All!A43</f>
        <v>H2</v>
      </c>
      <c r="B43">
        <f>All!B43</f>
        <v>-1</v>
      </c>
      <c r="C43">
        <f>All!C43</f>
        <v>6</v>
      </c>
      <c r="E43">
        <f t="shared" si="2"/>
        <v>0.16666666666666666</v>
      </c>
      <c r="F43">
        <f t="shared" si="3"/>
        <v>-0.5</v>
      </c>
    </row>
    <row r="44" spans="1:6" x14ac:dyDescent="0.2">
      <c r="A44" t="str">
        <f>All!A44</f>
        <v>H3</v>
      </c>
      <c r="B44">
        <f>All!B44</f>
        <v>0</v>
      </c>
      <c r="C44">
        <f>All!C44</f>
        <v>-1.5</v>
      </c>
      <c r="E44">
        <f t="shared" si="2"/>
        <v>-0.33333333333333331</v>
      </c>
      <c r="F44">
        <f t="shared" si="3"/>
        <v>3.3333333333333335</v>
      </c>
    </row>
    <row r="45" spans="1:6" x14ac:dyDescent="0.2">
      <c r="A45" t="str">
        <f>All!A45</f>
        <v>H4</v>
      </c>
      <c r="B45">
        <f>All!B45</f>
        <v>1</v>
      </c>
      <c r="C45">
        <f>All!C45</f>
        <v>-6</v>
      </c>
      <c r="E45">
        <f t="shared" si="2"/>
        <v>-0.33333333333333331</v>
      </c>
      <c r="F45">
        <f t="shared" si="3"/>
        <v>4.333333333333333</v>
      </c>
    </row>
    <row r="46" spans="1:6" x14ac:dyDescent="0.2">
      <c r="A46" t="str">
        <f>All!A46</f>
        <v>H5</v>
      </c>
      <c r="B46">
        <f>All!B46</f>
        <v>0</v>
      </c>
      <c r="C46">
        <f>All!C46</f>
        <v>6.5</v>
      </c>
      <c r="E46">
        <f t="shared" si="2"/>
        <v>0</v>
      </c>
      <c r="F46">
        <f t="shared" si="3"/>
        <v>-0.5</v>
      </c>
    </row>
    <row r="47" spans="1:6" x14ac:dyDescent="0.2">
      <c r="A47" t="str">
        <f>All!A47</f>
        <v>H6</v>
      </c>
      <c r="B47">
        <f>All!B47</f>
        <v>0</v>
      </c>
      <c r="C47">
        <f>All!C47</f>
        <v>1</v>
      </c>
      <c r="E47">
        <f t="shared" si="2"/>
        <v>0.33333333333333331</v>
      </c>
      <c r="F47">
        <f t="shared" si="3"/>
        <v>-0.33333333333333331</v>
      </c>
    </row>
    <row r="48" spans="1:6" x14ac:dyDescent="0.2">
      <c r="A48" t="str">
        <f>All!A48</f>
        <v>H7</v>
      </c>
      <c r="B48">
        <f>All!B48</f>
        <v>1.5</v>
      </c>
      <c r="C48">
        <f>All!C48</f>
        <v>6.5</v>
      </c>
      <c r="E48">
        <f t="shared" si="2"/>
        <v>0.33333333333333331</v>
      </c>
      <c r="F48">
        <f t="shared" si="3"/>
        <v>0.5</v>
      </c>
    </row>
    <row r="49" spans="1:6" x14ac:dyDescent="0.2">
      <c r="A49" t="str">
        <f>All!A49</f>
        <v>H8</v>
      </c>
      <c r="B49">
        <f>All!B49</f>
        <v>-0.5</v>
      </c>
      <c r="C49">
        <f>All!C49</f>
        <v>8</v>
      </c>
      <c r="E49">
        <f t="shared" si="2"/>
        <v>0.5</v>
      </c>
      <c r="F49">
        <f t="shared" si="3"/>
        <v>4.666666666666667</v>
      </c>
    </row>
    <row r="50" spans="1:6" x14ac:dyDescent="0.2">
      <c r="A50" t="str">
        <f>All!A50</f>
        <v>H9</v>
      </c>
      <c r="B50">
        <f>All!B50</f>
        <v>0</v>
      </c>
      <c r="C50">
        <f>All!C50</f>
        <v>2.5</v>
      </c>
      <c r="E50">
        <f t="shared" si="2"/>
        <v>0.33333333333333331</v>
      </c>
      <c r="F50">
        <f t="shared" si="3"/>
        <v>5.166666666666667</v>
      </c>
    </row>
    <row r="51" spans="1:6" x14ac:dyDescent="0.2">
      <c r="A51" t="str">
        <f>All!A51</f>
        <v>H10</v>
      </c>
      <c r="B51">
        <f>All!B51</f>
        <v>1.5</v>
      </c>
      <c r="C51">
        <f>All!C51</f>
        <v>-0.5</v>
      </c>
      <c r="E51">
        <f t="shared" si="2"/>
        <v>0.33333333333333331</v>
      </c>
      <c r="F51">
        <f t="shared" si="3"/>
        <v>5.666666666666667</v>
      </c>
    </row>
    <row r="52" spans="1:6" x14ac:dyDescent="0.2">
      <c r="A52" t="str">
        <f>All!A52</f>
        <v>H11</v>
      </c>
      <c r="B52">
        <f>All!B52</f>
        <v>1</v>
      </c>
      <c r="C52">
        <f>All!C52</f>
        <v>6</v>
      </c>
      <c r="E52">
        <f t="shared" si="2"/>
        <v>0.33333333333333331</v>
      </c>
      <c r="F52">
        <f t="shared" si="3"/>
        <v>3.3333333333333335</v>
      </c>
    </row>
    <row r="53" spans="1:6" x14ac:dyDescent="0.2">
      <c r="A53" t="str">
        <f>All!A53</f>
        <v>H12</v>
      </c>
      <c r="B53">
        <f>All!B53</f>
        <v>0.5</v>
      </c>
      <c r="C53">
        <f>All!C53</f>
        <v>3</v>
      </c>
      <c r="E53">
        <f t="shared" si="2"/>
        <v>0.83333333333333337</v>
      </c>
      <c r="F53">
        <f t="shared" si="3"/>
        <v>2.6666666666666665</v>
      </c>
    </row>
    <row r="54" spans="1:6" x14ac:dyDescent="0.2">
      <c r="A54" t="str">
        <f>All!A54</f>
        <v>H13</v>
      </c>
      <c r="B54">
        <f>All!B54</f>
        <v>0.5</v>
      </c>
      <c r="C54">
        <f>All!C54</f>
        <v>8</v>
      </c>
      <c r="E54">
        <f t="shared" si="2"/>
        <v>1</v>
      </c>
      <c r="F54">
        <f t="shared" si="3"/>
        <v>2.8333333333333335</v>
      </c>
    </row>
    <row r="55" spans="1:6" x14ac:dyDescent="0.2">
      <c r="A55" t="str">
        <f>All!A55</f>
        <v>H14</v>
      </c>
      <c r="B55">
        <f>All!B55</f>
        <v>1</v>
      </c>
      <c r="C55">
        <f>All!C55</f>
        <v>6</v>
      </c>
      <c r="E55">
        <f t="shared" si="2"/>
        <v>0.66666666666666663</v>
      </c>
      <c r="F55">
        <f t="shared" si="3"/>
        <v>5.666666666666667</v>
      </c>
    </row>
    <row r="56" spans="1:6" x14ac:dyDescent="0.2">
      <c r="A56" t="str">
        <f>All!A56</f>
        <v>H15</v>
      </c>
      <c r="B56">
        <f>All!B56</f>
        <v>-0.5</v>
      </c>
      <c r="C56">
        <f>All!C56</f>
        <v>-2.5</v>
      </c>
      <c r="E56">
        <f t="shared" si="2"/>
        <v>0.66666666666666663</v>
      </c>
      <c r="F56">
        <f t="shared" si="3"/>
        <v>5.666666666666667</v>
      </c>
    </row>
    <row r="57" spans="1:6" x14ac:dyDescent="0.2">
      <c r="A57" t="str">
        <f>All!A57</f>
        <v>H16</v>
      </c>
      <c r="B57">
        <f>All!B57</f>
        <v>1.5</v>
      </c>
      <c r="C57">
        <f>All!C57</f>
        <v>-2</v>
      </c>
      <c r="E57">
        <f t="shared" si="2"/>
        <v>0.33333333333333331</v>
      </c>
      <c r="F57">
        <f t="shared" si="3"/>
        <v>3.8333333333333335</v>
      </c>
    </row>
    <row r="58" spans="1:6" x14ac:dyDescent="0.2">
      <c r="A58" t="str">
        <f>All!A58</f>
        <v>H17</v>
      </c>
      <c r="B58">
        <f>All!B58</f>
        <v>0.5</v>
      </c>
      <c r="C58">
        <f>All!C58</f>
        <v>8</v>
      </c>
      <c r="E58">
        <f t="shared" si="2"/>
        <v>0.66666666666666663</v>
      </c>
      <c r="F58">
        <f t="shared" si="3"/>
        <v>0.5</v>
      </c>
    </row>
    <row r="59" spans="1:6" x14ac:dyDescent="0.2">
      <c r="A59" t="str">
        <f>All!A59</f>
        <v>H18</v>
      </c>
      <c r="B59">
        <f>All!B59</f>
        <v>1</v>
      </c>
      <c r="C59">
        <f>All!C59</f>
        <v>1.5</v>
      </c>
      <c r="E59">
        <f t="shared" si="2"/>
        <v>0.5</v>
      </c>
      <c r="F59">
        <f t="shared" si="3"/>
        <v>1.1666666666666667</v>
      </c>
    </row>
    <row r="60" spans="1:6" x14ac:dyDescent="0.2">
      <c r="A60" t="str">
        <f>All!A60</f>
        <v>H19</v>
      </c>
      <c r="B60">
        <f>All!B60</f>
        <v>0</v>
      </c>
      <c r="C60">
        <f>All!C60</f>
        <v>-5</v>
      </c>
      <c r="E60">
        <f t="shared" si="2"/>
        <v>1</v>
      </c>
      <c r="F60">
        <f t="shared" si="3"/>
        <v>2.5</v>
      </c>
    </row>
    <row r="61" spans="1:6" x14ac:dyDescent="0.2">
      <c r="A61" t="str">
        <f>All!A61</f>
        <v>H20</v>
      </c>
      <c r="B61">
        <f>All!B61</f>
        <v>0</v>
      </c>
      <c r="C61">
        <f>All!C61</f>
        <v>1</v>
      </c>
      <c r="E61">
        <f t="shared" si="2"/>
        <v>0.5</v>
      </c>
      <c r="F61">
        <f t="shared" si="3"/>
        <v>1.5</v>
      </c>
    </row>
    <row r="62" spans="1:6" x14ac:dyDescent="0.2">
      <c r="A62" t="str">
        <f>All!A62</f>
        <v>A1</v>
      </c>
      <c r="B62">
        <f>All!B62</f>
        <v>0</v>
      </c>
      <c r="C62">
        <f>All!C62</f>
        <v>2.5</v>
      </c>
      <c r="E62">
        <f t="shared" si="2"/>
        <v>0.33333333333333331</v>
      </c>
      <c r="F62">
        <f t="shared" si="3"/>
        <v>-0.83333333333333337</v>
      </c>
    </row>
    <row r="63" spans="1:6" x14ac:dyDescent="0.2">
      <c r="A63" t="str">
        <f>All!A63</f>
        <v>A2</v>
      </c>
      <c r="B63">
        <f>All!B63</f>
        <v>0.5</v>
      </c>
      <c r="C63">
        <f>All!C63</f>
        <v>-3</v>
      </c>
      <c r="E63">
        <f t="shared" si="2"/>
        <v>0</v>
      </c>
      <c r="F63">
        <f t="shared" si="3"/>
        <v>-0.5</v>
      </c>
    </row>
    <row r="64" spans="1:6" x14ac:dyDescent="0.2">
      <c r="A64" t="str">
        <f>All!A64</f>
        <v>A3</v>
      </c>
      <c r="B64">
        <f>All!B64</f>
        <v>1</v>
      </c>
      <c r="C64">
        <f>All!C64</f>
        <v>-2</v>
      </c>
      <c r="E64">
        <f t="shared" si="2"/>
        <v>0.16666666666666666</v>
      </c>
      <c r="F64">
        <f t="shared" si="3"/>
        <v>0.16666666666666666</v>
      </c>
    </row>
    <row r="65" spans="1:6" x14ac:dyDescent="0.2">
      <c r="A65" t="str">
        <f>All!A65</f>
        <v>A4</v>
      </c>
      <c r="B65">
        <f>All!B65</f>
        <v>1</v>
      </c>
      <c r="C65">
        <f>All!C65</f>
        <v>0.5</v>
      </c>
      <c r="E65">
        <f t="shared" si="2"/>
        <v>0.5</v>
      </c>
      <c r="F65">
        <f t="shared" si="3"/>
        <v>-0.83333333333333337</v>
      </c>
    </row>
    <row r="66" spans="1:6" x14ac:dyDescent="0.2">
      <c r="A66" t="str">
        <f>All!A66</f>
        <v>A5</v>
      </c>
      <c r="B66">
        <f>All!B66</f>
        <v>0</v>
      </c>
      <c r="C66">
        <f>All!C66</f>
        <v>-3</v>
      </c>
      <c r="E66">
        <f t="shared" si="2"/>
        <v>0.83333333333333337</v>
      </c>
      <c r="F66">
        <f t="shared" si="3"/>
        <v>-1.5</v>
      </c>
    </row>
    <row r="67" spans="1:6" x14ac:dyDescent="0.2">
      <c r="A67" t="str">
        <f>All!A67</f>
        <v>A6</v>
      </c>
      <c r="B67">
        <f>All!B67</f>
        <v>0</v>
      </c>
      <c r="C67">
        <f>All!C67</f>
        <v>-2.5</v>
      </c>
      <c r="E67">
        <f t="shared" si="2"/>
        <v>0.66666666666666663</v>
      </c>
      <c r="F67">
        <f t="shared" si="3"/>
        <v>-1.5</v>
      </c>
    </row>
    <row r="68" spans="1:6" x14ac:dyDescent="0.2">
      <c r="A68" t="str">
        <f>All!A68</f>
        <v>A7</v>
      </c>
      <c r="B68">
        <f>All!B68</f>
        <v>0</v>
      </c>
      <c r="C68">
        <f>All!C68</f>
        <v>1.5</v>
      </c>
      <c r="E68">
        <f t="shared" si="2"/>
        <v>0.33333333333333331</v>
      </c>
      <c r="F68">
        <f t="shared" si="3"/>
        <v>-1.6666666666666667</v>
      </c>
    </row>
    <row r="69" spans="1:6" x14ac:dyDescent="0.2">
      <c r="A69" t="str">
        <f>All!A69</f>
        <v>A8</v>
      </c>
      <c r="B69">
        <f>All!B69</f>
        <v>0.5</v>
      </c>
      <c r="C69">
        <f>All!C69</f>
        <v>-3.5</v>
      </c>
      <c r="E69">
        <f t="shared" ref="E69:E100" si="4">AVERAGE(B66:B68)</f>
        <v>0</v>
      </c>
      <c r="F69">
        <f t="shared" ref="F69:F100" si="5">AVERAGE(C66:C68)</f>
        <v>-1.3333333333333333</v>
      </c>
    </row>
    <row r="70" spans="1:6" x14ac:dyDescent="0.2">
      <c r="A70" t="str">
        <f>All!A70</f>
        <v>A9</v>
      </c>
      <c r="B70">
        <f>All!B70</f>
        <v>1</v>
      </c>
      <c r="C70">
        <f>All!C70</f>
        <v>0</v>
      </c>
      <c r="E70">
        <f t="shared" si="4"/>
        <v>0.16666666666666666</v>
      </c>
      <c r="F70">
        <f t="shared" si="5"/>
        <v>-1.5</v>
      </c>
    </row>
    <row r="71" spans="1:6" x14ac:dyDescent="0.2">
      <c r="A71" t="str">
        <f>All!A71</f>
        <v>A10</v>
      </c>
      <c r="B71">
        <f>All!B71</f>
        <v>0.5</v>
      </c>
      <c r="C71">
        <f>All!C71</f>
        <v>-4</v>
      </c>
      <c r="E71">
        <f t="shared" si="4"/>
        <v>0.5</v>
      </c>
      <c r="F71">
        <f t="shared" si="5"/>
        <v>-0.66666666666666663</v>
      </c>
    </row>
    <row r="72" spans="1:6" x14ac:dyDescent="0.2">
      <c r="A72" t="str">
        <f>All!A72</f>
        <v>A11</v>
      </c>
      <c r="B72">
        <f>All!B72</f>
        <v>0</v>
      </c>
      <c r="C72">
        <f>All!C72</f>
        <v>-2.5</v>
      </c>
      <c r="E72">
        <f t="shared" si="4"/>
        <v>0.66666666666666663</v>
      </c>
      <c r="F72">
        <f t="shared" si="5"/>
        <v>-2.5</v>
      </c>
    </row>
    <row r="73" spans="1:6" x14ac:dyDescent="0.2">
      <c r="A73" t="str">
        <f>All!A73</f>
        <v>A12</v>
      </c>
      <c r="B73">
        <f>All!B73</f>
        <v>0.5</v>
      </c>
      <c r="C73">
        <f>All!C73</f>
        <v>-4.5</v>
      </c>
      <c r="E73">
        <f t="shared" si="4"/>
        <v>0.5</v>
      </c>
      <c r="F73">
        <f t="shared" si="5"/>
        <v>-2.1666666666666665</v>
      </c>
    </row>
    <row r="74" spans="1:6" x14ac:dyDescent="0.2">
      <c r="A74" t="str">
        <f>All!A74</f>
        <v>A13</v>
      </c>
      <c r="B74">
        <f>All!B74</f>
        <v>0</v>
      </c>
      <c r="C74">
        <f>All!C74</f>
        <v>-5</v>
      </c>
      <c r="E74">
        <f t="shared" si="4"/>
        <v>0.33333333333333331</v>
      </c>
      <c r="F74">
        <f t="shared" si="5"/>
        <v>-3.6666666666666665</v>
      </c>
    </row>
    <row r="75" spans="1:6" x14ac:dyDescent="0.2">
      <c r="A75" t="str">
        <f>All!A75</f>
        <v>A14</v>
      </c>
      <c r="B75">
        <f>All!B75</f>
        <v>0.5</v>
      </c>
      <c r="C75">
        <f>All!C75</f>
        <v>0.5</v>
      </c>
      <c r="E75">
        <f t="shared" si="4"/>
        <v>0.16666666666666666</v>
      </c>
      <c r="F75">
        <f t="shared" si="5"/>
        <v>-4</v>
      </c>
    </row>
    <row r="76" spans="1:6" x14ac:dyDescent="0.2">
      <c r="A76" t="str">
        <f>All!A76</f>
        <v>A15</v>
      </c>
      <c r="B76">
        <f>All!B76</f>
        <v>1</v>
      </c>
      <c r="C76">
        <f>All!C76</f>
        <v>-1</v>
      </c>
      <c r="E76">
        <f t="shared" si="4"/>
        <v>0.33333333333333331</v>
      </c>
      <c r="F76">
        <f t="shared" si="5"/>
        <v>-3</v>
      </c>
    </row>
    <row r="77" spans="1:6" x14ac:dyDescent="0.2">
      <c r="A77" t="str">
        <f>All!A77</f>
        <v>A16</v>
      </c>
      <c r="B77">
        <f>All!B77</f>
        <v>0</v>
      </c>
      <c r="C77">
        <f>All!C77</f>
        <v>-4</v>
      </c>
      <c r="E77">
        <f t="shared" si="4"/>
        <v>0.5</v>
      </c>
      <c r="F77">
        <f t="shared" si="5"/>
        <v>-1.8333333333333333</v>
      </c>
    </row>
    <row r="78" spans="1:6" x14ac:dyDescent="0.2">
      <c r="A78" t="str">
        <f>All!A78</f>
        <v>A17</v>
      </c>
      <c r="B78">
        <f>All!B78</f>
        <v>0.5</v>
      </c>
      <c r="C78">
        <f>All!C78</f>
        <v>0.5</v>
      </c>
      <c r="E78">
        <f t="shared" si="4"/>
        <v>0.5</v>
      </c>
      <c r="F78">
        <f t="shared" si="5"/>
        <v>-1.5</v>
      </c>
    </row>
    <row r="79" spans="1:6" x14ac:dyDescent="0.2">
      <c r="A79" t="str">
        <f>All!A79</f>
        <v>A18</v>
      </c>
      <c r="B79">
        <f>All!B79</f>
        <v>0</v>
      </c>
      <c r="C79">
        <f>All!C79</f>
        <v>-3</v>
      </c>
      <c r="E79">
        <f t="shared" si="4"/>
        <v>0.5</v>
      </c>
      <c r="F79">
        <f t="shared" si="5"/>
        <v>-1.5</v>
      </c>
    </row>
    <row r="80" spans="1:6" x14ac:dyDescent="0.2">
      <c r="A80" t="str">
        <f>All!A80</f>
        <v>A19</v>
      </c>
      <c r="B80">
        <f>All!B80</f>
        <v>0.5</v>
      </c>
      <c r="C80">
        <f>All!C80</f>
        <v>-0.5</v>
      </c>
      <c r="E80">
        <f t="shared" si="4"/>
        <v>0.16666666666666666</v>
      </c>
      <c r="F80">
        <f t="shared" si="5"/>
        <v>-2.1666666666666665</v>
      </c>
    </row>
    <row r="81" spans="1:6" x14ac:dyDescent="0.2">
      <c r="A81" t="str">
        <f>All!A81</f>
        <v>A20</v>
      </c>
      <c r="B81">
        <f>All!B81</f>
        <v>0</v>
      </c>
      <c r="C81">
        <f>All!C81</f>
        <v>-2.5</v>
      </c>
      <c r="E81">
        <f t="shared" si="4"/>
        <v>0.33333333333333331</v>
      </c>
      <c r="F81">
        <f t="shared" si="5"/>
        <v>-1</v>
      </c>
    </row>
    <row r="82" spans="1:6" x14ac:dyDescent="0.2">
      <c r="A82" t="str">
        <f>All!A82</f>
        <v>M1</v>
      </c>
      <c r="B82">
        <f>All!B82</f>
        <v>0.5</v>
      </c>
      <c r="C82">
        <f>All!C82</f>
        <v>7</v>
      </c>
      <c r="E82">
        <f t="shared" si="4"/>
        <v>0.16666666666666666</v>
      </c>
      <c r="F82">
        <f t="shared" si="5"/>
        <v>-2</v>
      </c>
    </row>
    <row r="83" spans="1:6" x14ac:dyDescent="0.2">
      <c r="A83" t="str">
        <f>All!A83</f>
        <v>M2</v>
      </c>
      <c r="B83">
        <f>All!B83</f>
        <v>1</v>
      </c>
      <c r="C83">
        <f>All!C83</f>
        <v>3</v>
      </c>
      <c r="E83">
        <f t="shared" si="4"/>
        <v>0.33333333333333331</v>
      </c>
      <c r="F83">
        <f t="shared" si="5"/>
        <v>1.3333333333333333</v>
      </c>
    </row>
    <row r="84" spans="1:6" x14ac:dyDescent="0.2">
      <c r="A84" t="str">
        <f>All!A84</f>
        <v>M3</v>
      </c>
      <c r="B84">
        <f>All!B84</f>
        <v>0.5</v>
      </c>
      <c r="C84">
        <f>All!C84</f>
        <v>-1</v>
      </c>
      <c r="E84">
        <f t="shared" si="4"/>
        <v>0.5</v>
      </c>
      <c r="F84">
        <f t="shared" si="5"/>
        <v>2.5</v>
      </c>
    </row>
    <row r="85" spans="1:6" x14ac:dyDescent="0.2">
      <c r="A85" t="str">
        <f>All!A85</f>
        <v>M4</v>
      </c>
      <c r="B85">
        <f>All!B85</f>
        <v>0</v>
      </c>
      <c r="C85">
        <f>All!C85</f>
        <v>-3</v>
      </c>
      <c r="E85">
        <f t="shared" si="4"/>
        <v>0.66666666666666663</v>
      </c>
      <c r="F85">
        <f t="shared" si="5"/>
        <v>3</v>
      </c>
    </row>
    <row r="86" spans="1:6" x14ac:dyDescent="0.2">
      <c r="A86" t="str">
        <f>All!A86</f>
        <v>M5</v>
      </c>
      <c r="B86">
        <f>All!B86</f>
        <v>-0.5</v>
      </c>
      <c r="C86">
        <f>All!C86</f>
        <v>-3.5</v>
      </c>
      <c r="E86">
        <f t="shared" si="4"/>
        <v>0.5</v>
      </c>
      <c r="F86">
        <f t="shared" si="5"/>
        <v>-0.33333333333333331</v>
      </c>
    </row>
    <row r="87" spans="1:6" x14ac:dyDescent="0.2">
      <c r="A87" t="str">
        <f>All!A87</f>
        <v>M6</v>
      </c>
      <c r="B87">
        <f>All!B87</f>
        <v>-1</v>
      </c>
      <c r="C87">
        <f>All!C87</f>
        <v>-6.5</v>
      </c>
      <c r="E87">
        <f t="shared" si="4"/>
        <v>0</v>
      </c>
      <c r="F87">
        <f t="shared" si="5"/>
        <v>-2.5</v>
      </c>
    </row>
    <row r="88" spans="1:6" x14ac:dyDescent="0.2">
      <c r="A88" t="str">
        <f>All!A88</f>
        <v>M7</v>
      </c>
      <c r="B88">
        <f>All!B88</f>
        <v>0</v>
      </c>
      <c r="C88">
        <f>All!C88</f>
        <v>-1.5</v>
      </c>
      <c r="E88">
        <f t="shared" si="4"/>
        <v>-0.5</v>
      </c>
      <c r="F88">
        <f t="shared" si="5"/>
        <v>-4.333333333333333</v>
      </c>
    </row>
    <row r="89" spans="1:6" x14ac:dyDescent="0.2">
      <c r="A89" t="str">
        <f>All!A89</f>
        <v>M8</v>
      </c>
      <c r="B89">
        <f>All!B89</f>
        <v>1</v>
      </c>
      <c r="C89">
        <f>All!C89</f>
        <v>-1</v>
      </c>
      <c r="E89">
        <f t="shared" si="4"/>
        <v>-0.5</v>
      </c>
      <c r="F89">
        <f t="shared" si="5"/>
        <v>-3.8333333333333335</v>
      </c>
    </row>
    <row r="90" spans="1:6" x14ac:dyDescent="0.2">
      <c r="A90" t="str">
        <f>All!A90</f>
        <v>M9</v>
      </c>
      <c r="B90">
        <f>All!B90</f>
        <v>0</v>
      </c>
      <c r="C90">
        <f>All!C90</f>
        <v>4</v>
      </c>
      <c r="E90">
        <f t="shared" si="4"/>
        <v>0</v>
      </c>
      <c r="F90">
        <f t="shared" si="5"/>
        <v>-3</v>
      </c>
    </row>
    <row r="91" spans="1:6" x14ac:dyDescent="0.2">
      <c r="A91" t="str">
        <f>All!A91</f>
        <v>M10</v>
      </c>
      <c r="B91">
        <f>All!B91</f>
        <v>1</v>
      </c>
      <c r="C91">
        <f>All!C91</f>
        <v>-3</v>
      </c>
      <c r="E91">
        <f t="shared" si="4"/>
        <v>0.33333333333333331</v>
      </c>
      <c r="F91">
        <f t="shared" si="5"/>
        <v>0.5</v>
      </c>
    </row>
    <row r="92" spans="1:6" x14ac:dyDescent="0.2">
      <c r="A92" t="str">
        <f>All!A92</f>
        <v>M11</v>
      </c>
      <c r="B92">
        <f>All!B92</f>
        <v>-1</v>
      </c>
      <c r="C92">
        <f>All!C92</f>
        <v>-4.5</v>
      </c>
      <c r="E92">
        <f t="shared" si="4"/>
        <v>0.66666666666666663</v>
      </c>
      <c r="F92">
        <f t="shared" si="5"/>
        <v>0</v>
      </c>
    </row>
    <row r="93" spans="1:6" x14ac:dyDescent="0.2">
      <c r="A93" t="str">
        <f>All!A93</f>
        <v>M12</v>
      </c>
      <c r="B93">
        <f>All!B93</f>
        <v>0</v>
      </c>
      <c r="C93">
        <f>All!C93</f>
        <v>-0.5</v>
      </c>
      <c r="E93">
        <f t="shared" si="4"/>
        <v>0</v>
      </c>
      <c r="F93">
        <f t="shared" si="5"/>
        <v>-1.1666666666666667</v>
      </c>
    </row>
    <row r="94" spans="1:6" x14ac:dyDescent="0.2">
      <c r="A94" t="str">
        <f>All!A94</f>
        <v>M13</v>
      </c>
      <c r="B94">
        <f>All!B94</f>
        <v>0.5</v>
      </c>
      <c r="C94">
        <f>All!C94</f>
        <v>-0.5</v>
      </c>
      <c r="E94">
        <f t="shared" si="4"/>
        <v>0</v>
      </c>
      <c r="F94">
        <f t="shared" si="5"/>
        <v>-2.6666666666666665</v>
      </c>
    </row>
    <row r="95" spans="1:6" x14ac:dyDescent="0.2">
      <c r="A95" t="str">
        <f>All!A95</f>
        <v>M14</v>
      </c>
      <c r="B95">
        <f>All!B95</f>
        <v>0.5</v>
      </c>
      <c r="C95">
        <f>All!C95</f>
        <v>-1.5</v>
      </c>
      <c r="E95">
        <f t="shared" si="4"/>
        <v>-0.16666666666666666</v>
      </c>
      <c r="F95">
        <f t="shared" si="5"/>
        <v>-1.8333333333333333</v>
      </c>
    </row>
    <row r="96" spans="1:6" x14ac:dyDescent="0.2">
      <c r="A96" t="str">
        <f>All!A96</f>
        <v>M15</v>
      </c>
      <c r="B96">
        <f>All!B96</f>
        <v>0</v>
      </c>
      <c r="C96">
        <f>All!C96</f>
        <v>-3</v>
      </c>
      <c r="E96">
        <f t="shared" si="4"/>
        <v>0.33333333333333331</v>
      </c>
      <c r="F96">
        <f t="shared" si="5"/>
        <v>-0.83333333333333337</v>
      </c>
    </row>
    <row r="97" spans="1:6" x14ac:dyDescent="0.2">
      <c r="A97" t="str">
        <f>All!A97</f>
        <v>M16</v>
      </c>
      <c r="B97">
        <f>All!B97</f>
        <v>0.5</v>
      </c>
      <c r="C97">
        <f>All!C97</f>
        <v>-4.5</v>
      </c>
      <c r="E97">
        <f t="shared" si="4"/>
        <v>0.33333333333333331</v>
      </c>
      <c r="F97">
        <f t="shared" si="5"/>
        <v>-1.6666666666666667</v>
      </c>
    </row>
    <row r="98" spans="1:6" x14ac:dyDescent="0.2">
      <c r="A98" t="str">
        <f>All!A98</f>
        <v>M17</v>
      </c>
      <c r="B98">
        <f>All!B98</f>
        <v>-0.5</v>
      </c>
      <c r="C98">
        <f>All!C98</f>
        <v>-6</v>
      </c>
      <c r="E98">
        <f t="shared" si="4"/>
        <v>0.33333333333333331</v>
      </c>
      <c r="F98">
        <f t="shared" si="5"/>
        <v>-3</v>
      </c>
    </row>
    <row r="99" spans="1:6" x14ac:dyDescent="0.2">
      <c r="A99" t="str">
        <f>All!A99</f>
        <v>M18</v>
      </c>
      <c r="B99">
        <f>All!B99</f>
        <v>0</v>
      </c>
      <c r="C99">
        <f>All!C99</f>
        <v>-3</v>
      </c>
      <c r="E99">
        <f t="shared" si="4"/>
        <v>0</v>
      </c>
      <c r="F99">
        <f t="shared" si="5"/>
        <v>-4.5</v>
      </c>
    </row>
    <row r="100" spans="1:6" x14ac:dyDescent="0.2">
      <c r="A100" t="str">
        <f>All!A100</f>
        <v>M19</v>
      </c>
      <c r="B100">
        <f>All!B100</f>
        <v>1</v>
      </c>
      <c r="C100">
        <f>All!C100</f>
        <v>0</v>
      </c>
      <c r="E100">
        <f t="shared" si="4"/>
        <v>0</v>
      </c>
      <c r="F100">
        <f t="shared" si="5"/>
        <v>-4.5</v>
      </c>
    </row>
    <row r="101" spans="1:6" x14ac:dyDescent="0.2">
      <c r="A101" t="str">
        <f>All!A101</f>
        <v>M20</v>
      </c>
      <c r="B101">
        <f>All!B101</f>
        <v>0.5</v>
      </c>
      <c r="C101">
        <f>All!C101</f>
        <v>-2</v>
      </c>
      <c r="E101">
        <f t="shared" ref="E101:E122" si="6">AVERAGE(B98:B100)</f>
        <v>0.16666666666666666</v>
      </c>
      <c r="F101">
        <f t="shared" ref="F101:F122" si="7">AVERAGE(C98:C100)</f>
        <v>-3</v>
      </c>
    </row>
    <row r="102" spans="1:6" x14ac:dyDescent="0.2">
      <c r="A102" t="str">
        <f>All!A102</f>
        <v>B1</v>
      </c>
      <c r="B102">
        <f>All!B102</f>
        <v>2</v>
      </c>
      <c r="C102">
        <f>All!C102</f>
        <v>0.5</v>
      </c>
      <c r="E102">
        <f t="shared" si="6"/>
        <v>0.5</v>
      </c>
      <c r="F102">
        <f t="shared" si="7"/>
        <v>-1.6666666666666667</v>
      </c>
    </row>
    <row r="103" spans="1:6" x14ac:dyDescent="0.2">
      <c r="A103" t="str">
        <f>All!A103</f>
        <v>B2</v>
      </c>
      <c r="B103">
        <f>All!B103</f>
        <v>0</v>
      </c>
      <c r="C103">
        <f>All!C103</f>
        <v>-1.5</v>
      </c>
      <c r="E103">
        <f t="shared" si="6"/>
        <v>1.1666666666666667</v>
      </c>
      <c r="F103">
        <f t="shared" si="7"/>
        <v>-0.5</v>
      </c>
    </row>
    <row r="104" spans="1:6" x14ac:dyDescent="0.2">
      <c r="A104" t="str">
        <f>All!A104</f>
        <v>B3</v>
      </c>
      <c r="B104">
        <f>All!B104</f>
        <v>0.5</v>
      </c>
      <c r="C104">
        <f>All!C104</f>
        <v>5</v>
      </c>
      <c r="E104">
        <f t="shared" si="6"/>
        <v>0.83333333333333337</v>
      </c>
      <c r="F104">
        <f t="shared" si="7"/>
        <v>-1</v>
      </c>
    </row>
    <row r="105" spans="1:6" x14ac:dyDescent="0.2">
      <c r="A105" t="str">
        <f>All!A105</f>
        <v>B4</v>
      </c>
      <c r="B105">
        <f>All!B105</f>
        <v>-0.5</v>
      </c>
      <c r="C105">
        <f>All!C105</f>
        <v>4</v>
      </c>
      <c r="E105">
        <f t="shared" si="6"/>
        <v>0.83333333333333337</v>
      </c>
      <c r="F105">
        <f t="shared" si="7"/>
        <v>1.3333333333333333</v>
      </c>
    </row>
    <row r="106" spans="1:6" x14ac:dyDescent="0.2">
      <c r="A106" t="str">
        <f>All!A106</f>
        <v>B5</v>
      </c>
      <c r="B106">
        <f>All!B106</f>
        <v>0</v>
      </c>
      <c r="C106">
        <f>All!C106</f>
        <v>2.5</v>
      </c>
      <c r="E106">
        <f t="shared" si="6"/>
        <v>0</v>
      </c>
      <c r="F106">
        <f t="shared" si="7"/>
        <v>2.5</v>
      </c>
    </row>
    <row r="107" spans="1:6" x14ac:dyDescent="0.2">
      <c r="A107" t="str">
        <f>All!A107</f>
        <v>B6</v>
      </c>
      <c r="B107">
        <f>All!B107</f>
        <v>0</v>
      </c>
      <c r="C107">
        <f>All!C107</f>
        <v>1</v>
      </c>
      <c r="E107">
        <f t="shared" si="6"/>
        <v>0</v>
      </c>
      <c r="F107">
        <f t="shared" si="7"/>
        <v>3.8333333333333335</v>
      </c>
    </row>
    <row r="108" spans="1:6" x14ac:dyDescent="0.2">
      <c r="A108" t="str">
        <f>All!A108</f>
        <v>B7</v>
      </c>
      <c r="B108">
        <f>All!B108</f>
        <v>-0.5</v>
      </c>
      <c r="C108">
        <f>All!C108</f>
        <v>1</v>
      </c>
      <c r="E108">
        <f t="shared" si="6"/>
        <v>-0.16666666666666666</v>
      </c>
      <c r="F108">
        <f t="shared" si="7"/>
        <v>2.5</v>
      </c>
    </row>
    <row r="109" spans="1:6" x14ac:dyDescent="0.2">
      <c r="A109" t="str">
        <f>All!A109</f>
        <v>B8</v>
      </c>
      <c r="B109">
        <f>All!B109</f>
        <v>-0.5</v>
      </c>
      <c r="C109">
        <f>All!C109</f>
        <v>-1.5</v>
      </c>
      <c r="E109">
        <f t="shared" si="6"/>
        <v>-0.16666666666666666</v>
      </c>
      <c r="F109">
        <f t="shared" si="7"/>
        <v>1.5</v>
      </c>
    </row>
    <row r="110" spans="1:6" x14ac:dyDescent="0.2">
      <c r="A110" t="str">
        <f>All!A110</f>
        <v>B9</v>
      </c>
      <c r="B110">
        <f>All!B110</f>
        <v>1</v>
      </c>
      <c r="C110">
        <f>All!C110</f>
        <v>3.5</v>
      </c>
      <c r="E110">
        <f t="shared" si="6"/>
        <v>-0.33333333333333331</v>
      </c>
      <c r="F110">
        <f t="shared" si="7"/>
        <v>0.16666666666666666</v>
      </c>
    </row>
    <row r="111" spans="1:6" x14ac:dyDescent="0.2">
      <c r="A111" t="str">
        <f>All!A111</f>
        <v>B10</v>
      </c>
      <c r="B111">
        <f>All!B111</f>
        <v>-0.5</v>
      </c>
      <c r="C111">
        <f>All!C111</f>
        <v>0.5</v>
      </c>
      <c r="E111">
        <f t="shared" si="6"/>
        <v>0</v>
      </c>
      <c r="F111">
        <f t="shared" si="7"/>
        <v>1</v>
      </c>
    </row>
    <row r="112" spans="1:6" x14ac:dyDescent="0.2">
      <c r="A112" t="str">
        <f>All!A112</f>
        <v>B11</v>
      </c>
      <c r="B112">
        <f>All!B112</f>
        <v>0</v>
      </c>
      <c r="C112">
        <f>All!C112</f>
        <v>2.5</v>
      </c>
      <c r="E112">
        <f t="shared" si="6"/>
        <v>0</v>
      </c>
      <c r="F112">
        <f t="shared" si="7"/>
        <v>0.83333333333333337</v>
      </c>
    </row>
    <row r="113" spans="1:6" x14ac:dyDescent="0.2">
      <c r="A113" t="str">
        <f>All!A113</f>
        <v>B12</v>
      </c>
      <c r="B113">
        <f>All!B113</f>
        <v>0</v>
      </c>
      <c r="C113">
        <f>All!C113</f>
        <v>0</v>
      </c>
      <c r="E113">
        <f t="shared" si="6"/>
        <v>0.16666666666666666</v>
      </c>
      <c r="F113">
        <f t="shared" si="7"/>
        <v>2.1666666666666665</v>
      </c>
    </row>
    <row r="114" spans="1:6" x14ac:dyDescent="0.2">
      <c r="A114" t="str">
        <f>All!A114</f>
        <v>B13</v>
      </c>
      <c r="B114">
        <f>All!B114</f>
        <v>0.5</v>
      </c>
      <c r="C114">
        <f>All!C114</f>
        <v>1</v>
      </c>
      <c r="E114">
        <f t="shared" si="6"/>
        <v>-0.16666666666666666</v>
      </c>
      <c r="F114">
        <f t="shared" si="7"/>
        <v>1</v>
      </c>
    </row>
    <row r="115" spans="1:6" x14ac:dyDescent="0.2">
      <c r="A115" t="str">
        <f>All!A115</f>
        <v>B14</v>
      </c>
      <c r="B115">
        <f>All!B115</f>
        <v>-0.5</v>
      </c>
      <c r="C115">
        <f>All!C115</f>
        <v>-2.5</v>
      </c>
      <c r="E115">
        <f t="shared" si="6"/>
        <v>0.16666666666666666</v>
      </c>
      <c r="F115">
        <f t="shared" si="7"/>
        <v>1.1666666666666667</v>
      </c>
    </row>
    <row r="116" spans="1:6" x14ac:dyDescent="0.2">
      <c r="A116" t="str">
        <f>All!A116</f>
        <v>B15</v>
      </c>
      <c r="B116">
        <f>All!B116</f>
        <v>1</v>
      </c>
      <c r="C116">
        <f>All!C116</f>
        <v>3</v>
      </c>
      <c r="E116">
        <f t="shared" si="6"/>
        <v>0</v>
      </c>
      <c r="F116">
        <f t="shared" si="7"/>
        <v>-0.5</v>
      </c>
    </row>
    <row r="117" spans="1:6" x14ac:dyDescent="0.2">
      <c r="A117" t="str">
        <f>All!A117</f>
        <v>B16</v>
      </c>
      <c r="B117">
        <f>All!B117</f>
        <v>0.5</v>
      </c>
      <c r="C117">
        <f>All!C117</f>
        <v>2.5</v>
      </c>
      <c r="E117">
        <f t="shared" si="6"/>
        <v>0.33333333333333331</v>
      </c>
      <c r="F117">
        <f t="shared" si="7"/>
        <v>0.5</v>
      </c>
    </row>
    <row r="118" spans="1:6" x14ac:dyDescent="0.2">
      <c r="A118" t="str">
        <f>All!A118</f>
        <v>B17</v>
      </c>
      <c r="B118">
        <f>All!B118</f>
        <v>0</v>
      </c>
      <c r="C118">
        <f>All!C118</f>
        <v>0</v>
      </c>
      <c r="E118">
        <f t="shared" si="6"/>
        <v>0.33333333333333331</v>
      </c>
      <c r="F118">
        <f t="shared" si="7"/>
        <v>1</v>
      </c>
    </row>
    <row r="119" spans="1:6" x14ac:dyDescent="0.2">
      <c r="A119" t="str">
        <f>All!A119</f>
        <v>B18</v>
      </c>
      <c r="B119">
        <f>All!B119</f>
        <v>1</v>
      </c>
      <c r="C119">
        <f>All!C119</f>
        <v>0.5</v>
      </c>
      <c r="E119">
        <f t="shared" si="6"/>
        <v>0.5</v>
      </c>
      <c r="F119">
        <f t="shared" si="7"/>
        <v>1.8333333333333333</v>
      </c>
    </row>
    <row r="120" spans="1:6" x14ac:dyDescent="0.2">
      <c r="A120" t="str">
        <f>All!A120</f>
        <v>B19</v>
      </c>
      <c r="B120">
        <f>All!B120</f>
        <v>0</v>
      </c>
      <c r="C120">
        <f>All!C120</f>
        <v>5</v>
      </c>
      <c r="E120">
        <f t="shared" si="6"/>
        <v>0.5</v>
      </c>
      <c r="F120">
        <f t="shared" si="7"/>
        <v>1</v>
      </c>
    </row>
    <row r="121" spans="1:6" x14ac:dyDescent="0.2">
      <c r="A121" t="str">
        <f>All!A121</f>
        <v>B20</v>
      </c>
      <c r="B121">
        <f>All!B121</f>
        <v>0.5</v>
      </c>
      <c r="C121">
        <f>All!C121</f>
        <v>5</v>
      </c>
      <c r="E121">
        <f t="shared" si="6"/>
        <v>0.33333333333333331</v>
      </c>
      <c r="F121">
        <f t="shared" si="7"/>
        <v>1.8333333333333333</v>
      </c>
    </row>
    <row r="122" spans="1:6" x14ac:dyDescent="0.2">
      <c r="E122">
        <f t="shared" si="6"/>
        <v>0.5</v>
      </c>
      <c r="F122">
        <f t="shared" si="7"/>
        <v>3.5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1"/>
  <sheetViews>
    <sheetView workbookViewId="0">
      <selection activeCell="B2" sqref="B2"/>
    </sheetView>
  </sheetViews>
  <sheetFormatPr defaultRowHeight="15" x14ac:dyDescent="0.25"/>
  <cols>
    <col min="1" max="16384" width="9.140625" style="30"/>
  </cols>
  <sheetData>
    <row r="1" spans="1:9" ht="15.75" thickBot="1" x14ac:dyDescent="0.3">
      <c r="A1" s="30" t="s">
        <v>9</v>
      </c>
      <c r="B1" s="30" t="s">
        <v>10</v>
      </c>
      <c r="C1" s="30" t="s">
        <v>11</v>
      </c>
      <c r="E1" s="32" t="s">
        <v>132</v>
      </c>
      <c r="F1" s="32" t="s">
        <v>133</v>
      </c>
      <c r="G1" s="32"/>
      <c r="H1" s="32" t="s">
        <v>134</v>
      </c>
      <c r="I1" s="32" t="s">
        <v>135</v>
      </c>
    </row>
    <row r="2" spans="1:9" ht="15.75" thickBot="1" x14ac:dyDescent="0.3">
      <c r="A2" s="31" t="s">
        <v>12</v>
      </c>
      <c r="B2" s="30">
        <f>All!B2</f>
        <v>0</v>
      </c>
      <c r="C2" s="30">
        <f>All!C2</f>
        <v>6.5</v>
      </c>
      <c r="E2" s="32">
        <f>_xlfn.STDEV.S(B2:B21)</f>
        <v>0.76777189594991446</v>
      </c>
      <c r="F2" s="32">
        <f>_xlfn.STDEV.S(C2:C21)</f>
        <v>4.1183159562847376</v>
      </c>
      <c r="G2" s="32"/>
      <c r="H2" s="32">
        <f>AVERAGE(B2:B21)</f>
        <v>0.2</v>
      </c>
      <c r="I2" s="32">
        <f>AVERAGE(C2:C21)</f>
        <v>-2.25</v>
      </c>
    </row>
    <row r="3" spans="1:9" ht="15.75" thickBot="1" x14ac:dyDescent="0.3">
      <c r="A3" s="31" t="s">
        <v>13</v>
      </c>
      <c r="B3" s="30">
        <f>All!B3</f>
        <v>0.5</v>
      </c>
      <c r="C3" s="30">
        <f>All!C3</f>
        <v>-3.5</v>
      </c>
    </row>
    <row r="4" spans="1:9" ht="15.75" thickBot="1" x14ac:dyDescent="0.3">
      <c r="A4" s="31" t="s">
        <v>14</v>
      </c>
      <c r="B4" s="30">
        <f>All!B4</f>
        <v>1</v>
      </c>
      <c r="C4" s="30">
        <f>All!C4</f>
        <v>-3.5</v>
      </c>
    </row>
    <row r="5" spans="1:9" ht="15.75" thickBot="1" x14ac:dyDescent="0.3">
      <c r="A5" s="31" t="s">
        <v>15</v>
      </c>
      <c r="B5" s="30">
        <f>All!B5</f>
        <v>-0.5</v>
      </c>
      <c r="C5" s="30">
        <f>All!C5</f>
        <v>-8.5</v>
      </c>
    </row>
    <row r="6" spans="1:9" ht="15.75" thickBot="1" x14ac:dyDescent="0.3">
      <c r="A6" s="31" t="s">
        <v>16</v>
      </c>
      <c r="B6" s="30">
        <f>All!B6</f>
        <v>-0.5</v>
      </c>
      <c r="C6" s="30">
        <f>All!C6</f>
        <v>-2.5</v>
      </c>
    </row>
    <row r="7" spans="1:9" ht="15.75" thickBot="1" x14ac:dyDescent="0.3">
      <c r="A7" s="31" t="s">
        <v>17</v>
      </c>
      <c r="B7" s="30">
        <f>All!B7</f>
        <v>0</v>
      </c>
      <c r="C7" s="30">
        <f>All!C7</f>
        <v>0</v>
      </c>
    </row>
    <row r="8" spans="1:9" ht="15.75" thickBot="1" x14ac:dyDescent="0.3">
      <c r="A8" s="31" t="s">
        <v>18</v>
      </c>
      <c r="B8" s="30">
        <f>All!B8</f>
        <v>0.5</v>
      </c>
      <c r="C8" s="30">
        <f>All!C8</f>
        <v>3.5</v>
      </c>
    </row>
    <row r="9" spans="1:9" ht="15.75" thickBot="1" x14ac:dyDescent="0.3">
      <c r="A9" s="31" t="s">
        <v>19</v>
      </c>
      <c r="B9" s="30">
        <f>All!B9</f>
        <v>2</v>
      </c>
      <c r="C9" s="30">
        <f>All!C9</f>
        <v>3</v>
      </c>
    </row>
    <row r="10" spans="1:9" ht="15.75" thickBot="1" x14ac:dyDescent="0.3">
      <c r="A10" s="31" t="s">
        <v>20</v>
      </c>
      <c r="B10" s="30">
        <f>All!B10</f>
        <v>0.5</v>
      </c>
      <c r="C10" s="30">
        <f>All!C10</f>
        <v>-6</v>
      </c>
    </row>
    <row r="11" spans="1:9" ht="15.75" thickBot="1" x14ac:dyDescent="0.3">
      <c r="A11" s="31" t="s">
        <v>21</v>
      </c>
      <c r="B11" s="30">
        <f>All!B11</f>
        <v>0.5</v>
      </c>
      <c r="C11" s="30">
        <f>All!C11</f>
        <v>-2</v>
      </c>
    </row>
    <row r="12" spans="1:9" ht="15.75" thickBot="1" x14ac:dyDescent="0.3">
      <c r="A12" s="31" t="s">
        <v>22</v>
      </c>
      <c r="B12" s="30">
        <f>All!B12</f>
        <v>0.5</v>
      </c>
      <c r="C12" s="30">
        <f>All!C12</f>
        <v>-3.5</v>
      </c>
    </row>
    <row r="13" spans="1:9" ht="15.75" thickBot="1" x14ac:dyDescent="0.3">
      <c r="A13" s="31" t="s">
        <v>23</v>
      </c>
      <c r="B13" s="30">
        <f>All!B13</f>
        <v>-0.5</v>
      </c>
      <c r="C13" s="30">
        <f>All!C13</f>
        <v>-1.5</v>
      </c>
    </row>
    <row r="14" spans="1:9" ht="15.75" thickBot="1" x14ac:dyDescent="0.3">
      <c r="A14" s="31" t="s">
        <v>24</v>
      </c>
      <c r="B14" s="30">
        <f>All!B14</f>
        <v>0</v>
      </c>
      <c r="C14" s="30">
        <f>All!C14</f>
        <v>-7.5</v>
      </c>
    </row>
    <row r="15" spans="1:9" ht="15.75" thickBot="1" x14ac:dyDescent="0.3">
      <c r="A15" s="31" t="s">
        <v>25</v>
      </c>
      <c r="B15" s="30">
        <f>All!B15</f>
        <v>-0.5</v>
      </c>
      <c r="C15" s="30">
        <f>All!C15</f>
        <v>-2.5</v>
      </c>
    </row>
    <row r="16" spans="1:9" ht="15.75" thickBot="1" x14ac:dyDescent="0.3">
      <c r="A16" s="31" t="s">
        <v>26</v>
      </c>
      <c r="B16" s="30">
        <f>All!B16</f>
        <v>0</v>
      </c>
      <c r="C16" s="30">
        <f>All!C16</f>
        <v>-4.5</v>
      </c>
    </row>
    <row r="17" spans="1:3" ht="15.75" thickBot="1" x14ac:dyDescent="0.3">
      <c r="A17" s="31" t="s">
        <v>27</v>
      </c>
      <c r="B17" s="30">
        <f>All!B17</f>
        <v>-0.5</v>
      </c>
      <c r="C17" s="30">
        <f>All!C17</f>
        <v>-8.5</v>
      </c>
    </row>
    <row r="18" spans="1:3" ht="15.75" thickBot="1" x14ac:dyDescent="0.3">
      <c r="A18" s="31" t="s">
        <v>28</v>
      </c>
      <c r="B18" s="30">
        <f>All!B18</f>
        <v>0.5</v>
      </c>
      <c r="C18" s="30">
        <f>All!C18</f>
        <v>-2.5</v>
      </c>
    </row>
    <row r="19" spans="1:3" ht="15.75" thickBot="1" x14ac:dyDescent="0.3">
      <c r="A19" s="31" t="s">
        <v>29</v>
      </c>
      <c r="B19" s="30">
        <f>All!B19</f>
        <v>1</v>
      </c>
      <c r="C19" s="30">
        <f>All!C19</f>
        <v>-5</v>
      </c>
    </row>
    <row r="20" spans="1:3" ht="15.75" thickBot="1" x14ac:dyDescent="0.3">
      <c r="A20" s="31" t="s">
        <v>30</v>
      </c>
      <c r="B20" s="30">
        <f>All!B20</f>
        <v>-1.5</v>
      </c>
      <c r="C20" s="30">
        <f>All!C20</f>
        <v>-0.5</v>
      </c>
    </row>
    <row r="21" spans="1:3" ht="15.75" thickBot="1" x14ac:dyDescent="0.3">
      <c r="A21" s="31" t="s">
        <v>31</v>
      </c>
      <c r="B21" s="30">
        <f>All!B21</f>
        <v>1</v>
      </c>
      <c r="C21" s="30">
        <f>All!C21</f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1"/>
  <sheetViews>
    <sheetView workbookViewId="0">
      <selection activeCell="C2" sqref="C2:C21"/>
    </sheetView>
  </sheetViews>
  <sheetFormatPr defaultRowHeight="15" x14ac:dyDescent="0.25"/>
  <cols>
    <col min="1" max="16384" width="9.140625" style="30"/>
  </cols>
  <sheetData>
    <row r="1" spans="1:9" ht="15.75" thickBot="1" x14ac:dyDescent="0.3">
      <c r="A1" s="30" t="s">
        <v>9</v>
      </c>
      <c r="B1" s="30" t="s">
        <v>10</v>
      </c>
      <c r="C1" s="30" t="s">
        <v>11</v>
      </c>
      <c r="E1" s="32" t="s">
        <v>132</v>
      </c>
      <c r="F1" s="32" t="s">
        <v>133</v>
      </c>
      <c r="G1" s="32"/>
      <c r="H1" s="32" t="s">
        <v>134</v>
      </c>
      <c r="I1" s="32" t="s">
        <v>135</v>
      </c>
    </row>
    <row r="2" spans="1:9" ht="15.75" thickBot="1" x14ac:dyDescent="0.3">
      <c r="A2" s="31" t="s">
        <v>32</v>
      </c>
      <c r="B2" s="30">
        <f>All!B22</f>
        <v>1</v>
      </c>
      <c r="C2" s="30">
        <f>All!C22</f>
        <v>-3</v>
      </c>
      <c r="E2" s="32">
        <f>_xlfn.STDEV.S(B2:B21)</f>
        <v>0.4993416718672275</v>
      </c>
      <c r="F2" s="32">
        <f>_xlfn.STDEV.S(C2:C21)</f>
        <v>2.0222447142248945</v>
      </c>
      <c r="G2" s="32"/>
      <c r="H2" s="32">
        <f>AVERAGE(B2:B21)</f>
        <v>0.27500000000000002</v>
      </c>
      <c r="I2" s="32">
        <f>AVERAGE(C2:C21)</f>
        <v>-3.2</v>
      </c>
    </row>
    <row r="3" spans="1:9" ht="15.75" thickBot="1" x14ac:dyDescent="0.3">
      <c r="A3" s="31" t="s">
        <v>33</v>
      </c>
      <c r="B3" s="30">
        <f>All!B23</f>
        <v>0</v>
      </c>
      <c r="C3" s="30">
        <f>All!C23</f>
        <v>-0.5</v>
      </c>
    </row>
    <row r="4" spans="1:9" ht="15.75" thickBot="1" x14ac:dyDescent="0.3">
      <c r="A4" s="31" t="s">
        <v>34</v>
      </c>
      <c r="B4" s="30">
        <f>All!B24</f>
        <v>0</v>
      </c>
      <c r="C4" s="30">
        <f>All!C24</f>
        <v>-4.5</v>
      </c>
    </row>
    <row r="5" spans="1:9" ht="15.75" thickBot="1" x14ac:dyDescent="0.3">
      <c r="A5" s="31" t="s">
        <v>35</v>
      </c>
      <c r="B5" s="30">
        <f>All!B25</f>
        <v>1</v>
      </c>
      <c r="C5" s="30">
        <f>All!C25</f>
        <v>-4</v>
      </c>
    </row>
    <row r="6" spans="1:9" ht="15.75" thickBot="1" x14ac:dyDescent="0.3">
      <c r="A6" s="31" t="s">
        <v>36</v>
      </c>
      <c r="B6" s="30">
        <f>All!B26</f>
        <v>-0.5</v>
      </c>
      <c r="C6" s="30">
        <f>All!C26</f>
        <v>-1.5</v>
      </c>
    </row>
    <row r="7" spans="1:9" ht="15.75" thickBot="1" x14ac:dyDescent="0.3">
      <c r="A7" s="31" t="s">
        <v>37</v>
      </c>
      <c r="B7" s="30">
        <f>All!B27</f>
        <v>0</v>
      </c>
      <c r="C7" s="30">
        <f>All!C27</f>
        <v>-3</v>
      </c>
    </row>
    <row r="8" spans="1:9" ht="15.75" thickBot="1" x14ac:dyDescent="0.3">
      <c r="A8" s="31" t="s">
        <v>38</v>
      </c>
      <c r="B8" s="30">
        <f>All!B28</f>
        <v>0</v>
      </c>
      <c r="C8" s="30">
        <f>All!C28</f>
        <v>-2</v>
      </c>
    </row>
    <row r="9" spans="1:9" ht="15.75" thickBot="1" x14ac:dyDescent="0.3">
      <c r="A9" s="31" t="s">
        <v>39</v>
      </c>
      <c r="B9" s="30">
        <f>All!B29</f>
        <v>-0.5</v>
      </c>
      <c r="C9" s="30">
        <f>All!C29</f>
        <v>1.5</v>
      </c>
    </row>
    <row r="10" spans="1:9" ht="15.75" thickBot="1" x14ac:dyDescent="0.3">
      <c r="A10" s="31" t="s">
        <v>40</v>
      </c>
      <c r="B10" s="30">
        <f>All!B30</f>
        <v>0</v>
      </c>
      <c r="C10" s="30">
        <f>All!C30</f>
        <v>-1.5</v>
      </c>
    </row>
    <row r="11" spans="1:9" ht="15.75" thickBot="1" x14ac:dyDescent="0.3">
      <c r="A11" s="31" t="s">
        <v>41</v>
      </c>
      <c r="B11" s="30">
        <f>All!B31</f>
        <v>0.5</v>
      </c>
      <c r="C11" s="30">
        <f>All!C31</f>
        <v>-3</v>
      </c>
    </row>
    <row r="12" spans="1:9" ht="15.75" thickBot="1" x14ac:dyDescent="0.3">
      <c r="A12" s="31" t="s">
        <v>42</v>
      </c>
      <c r="B12" s="30">
        <f>All!B32</f>
        <v>0.5</v>
      </c>
      <c r="C12" s="30">
        <f>All!C32</f>
        <v>-1</v>
      </c>
    </row>
    <row r="13" spans="1:9" ht="15.75" thickBot="1" x14ac:dyDescent="0.3">
      <c r="A13" s="31" t="s">
        <v>43</v>
      </c>
      <c r="B13" s="30">
        <f>All!B33</f>
        <v>0.5</v>
      </c>
      <c r="C13" s="30">
        <f>All!C33</f>
        <v>-6.5</v>
      </c>
    </row>
    <row r="14" spans="1:9" ht="15.75" thickBot="1" x14ac:dyDescent="0.3">
      <c r="A14" s="31" t="s">
        <v>44</v>
      </c>
      <c r="B14" s="30">
        <f>All!B34</f>
        <v>0</v>
      </c>
      <c r="C14" s="30">
        <f>All!C34</f>
        <v>-6.5</v>
      </c>
    </row>
    <row r="15" spans="1:9" ht="15.75" thickBot="1" x14ac:dyDescent="0.3">
      <c r="A15" s="31" t="s">
        <v>45</v>
      </c>
      <c r="B15" s="30">
        <f>All!B35</f>
        <v>0.5</v>
      </c>
      <c r="C15" s="30">
        <f>All!C35</f>
        <v>-5</v>
      </c>
    </row>
    <row r="16" spans="1:9" ht="15.75" thickBot="1" x14ac:dyDescent="0.3">
      <c r="A16" s="31" t="s">
        <v>46</v>
      </c>
      <c r="B16" s="30">
        <f>All!B36</f>
        <v>1.5</v>
      </c>
      <c r="C16" s="30">
        <f>All!C36</f>
        <v>-2.5</v>
      </c>
    </row>
    <row r="17" spans="1:3" ht="15.75" thickBot="1" x14ac:dyDescent="0.3">
      <c r="A17" s="31" t="s">
        <v>47</v>
      </c>
      <c r="B17" s="30">
        <f>All!B37</f>
        <v>0</v>
      </c>
      <c r="C17" s="30">
        <f>All!C37</f>
        <v>-4</v>
      </c>
    </row>
    <row r="18" spans="1:3" ht="15.75" thickBot="1" x14ac:dyDescent="0.3">
      <c r="A18" s="31" t="s">
        <v>48</v>
      </c>
      <c r="B18" s="30">
        <f>All!B38</f>
        <v>0.5</v>
      </c>
      <c r="C18" s="30">
        <f>All!C38</f>
        <v>-4</v>
      </c>
    </row>
    <row r="19" spans="1:3" ht="15.75" thickBot="1" x14ac:dyDescent="0.3">
      <c r="A19" s="31" t="s">
        <v>49</v>
      </c>
      <c r="B19" s="30">
        <f>All!B39</f>
        <v>0</v>
      </c>
      <c r="C19" s="30">
        <f>All!C39</f>
        <v>-3</v>
      </c>
    </row>
    <row r="20" spans="1:3" ht="15.75" thickBot="1" x14ac:dyDescent="0.3">
      <c r="A20" s="31" t="s">
        <v>50</v>
      </c>
      <c r="B20" s="30">
        <f>All!B40</f>
        <v>0.5</v>
      </c>
      <c r="C20" s="30">
        <f>All!C40</f>
        <v>-5.5</v>
      </c>
    </row>
    <row r="21" spans="1:3" ht="15.75" thickBot="1" x14ac:dyDescent="0.3">
      <c r="A21" s="31" t="s">
        <v>51</v>
      </c>
      <c r="B21" s="30">
        <f>All!B41</f>
        <v>0</v>
      </c>
      <c r="C21" s="30">
        <f>All!C41</f>
        <v>-4.5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1"/>
  <sheetViews>
    <sheetView workbookViewId="0">
      <selection activeCell="C2" sqref="C2"/>
    </sheetView>
  </sheetViews>
  <sheetFormatPr defaultRowHeight="15" x14ac:dyDescent="0.25"/>
  <cols>
    <col min="1" max="16384" width="9.140625" style="30"/>
  </cols>
  <sheetData>
    <row r="1" spans="1:9" ht="15.75" thickBot="1" x14ac:dyDescent="0.3">
      <c r="A1" s="30" t="s">
        <v>9</v>
      </c>
      <c r="B1" s="30" t="s">
        <v>10</v>
      </c>
      <c r="C1" s="30" t="s">
        <v>11</v>
      </c>
      <c r="E1" s="32" t="s">
        <v>132</v>
      </c>
      <c r="F1" s="32" t="s">
        <v>133</v>
      </c>
      <c r="G1" s="32"/>
      <c r="H1" s="32" t="s">
        <v>134</v>
      </c>
      <c r="I1" s="32" t="s">
        <v>135</v>
      </c>
    </row>
    <row r="2" spans="1:9" ht="15.75" thickBot="1" x14ac:dyDescent="0.3">
      <c r="A2" s="31" t="s">
        <v>52</v>
      </c>
      <c r="B2" s="30">
        <f>All!B42</f>
        <v>0</v>
      </c>
      <c r="C2" s="30">
        <f>All!C42</f>
        <v>8.5</v>
      </c>
      <c r="E2" s="32">
        <f>_xlfn.STDEV.S(B2:B21)</f>
        <v>0.7181848464596079</v>
      </c>
      <c r="F2" s="32">
        <f>_xlfn.STDEV.S(C2:C21)</f>
        <v>4.5811398259890694</v>
      </c>
      <c r="G2" s="32"/>
      <c r="H2" s="32">
        <f>AVERAGE(B2:B21)</f>
        <v>0.4</v>
      </c>
      <c r="I2" s="32">
        <f>AVERAGE(C2:C21)</f>
        <v>2.75</v>
      </c>
    </row>
    <row r="3" spans="1:9" ht="15.75" thickBot="1" x14ac:dyDescent="0.3">
      <c r="A3" s="31" t="s">
        <v>53</v>
      </c>
      <c r="B3" s="30">
        <f>All!B43</f>
        <v>-1</v>
      </c>
      <c r="C3" s="30">
        <f>All!C43</f>
        <v>6</v>
      </c>
    </row>
    <row r="4" spans="1:9" ht="15.75" thickBot="1" x14ac:dyDescent="0.3">
      <c r="A4" s="31" t="s">
        <v>54</v>
      </c>
      <c r="B4" s="30">
        <f>All!B44</f>
        <v>0</v>
      </c>
      <c r="C4" s="30">
        <f>All!C44</f>
        <v>-1.5</v>
      </c>
    </row>
    <row r="5" spans="1:9" ht="15.75" thickBot="1" x14ac:dyDescent="0.3">
      <c r="A5" s="31" t="s">
        <v>55</v>
      </c>
      <c r="B5" s="30">
        <f>All!B45</f>
        <v>1</v>
      </c>
      <c r="C5" s="30">
        <f>All!C45</f>
        <v>-6</v>
      </c>
    </row>
    <row r="6" spans="1:9" ht="15.75" thickBot="1" x14ac:dyDescent="0.3">
      <c r="A6" s="31" t="s">
        <v>56</v>
      </c>
      <c r="B6" s="30">
        <f>All!B46</f>
        <v>0</v>
      </c>
      <c r="C6" s="30">
        <f>All!C46</f>
        <v>6.5</v>
      </c>
    </row>
    <row r="7" spans="1:9" ht="15.75" thickBot="1" x14ac:dyDescent="0.3">
      <c r="A7" s="31" t="s">
        <v>57</v>
      </c>
      <c r="B7" s="30">
        <f>All!B47</f>
        <v>0</v>
      </c>
      <c r="C7" s="30">
        <f>All!C47</f>
        <v>1</v>
      </c>
    </row>
    <row r="8" spans="1:9" ht="15.75" thickBot="1" x14ac:dyDescent="0.3">
      <c r="A8" s="31" t="s">
        <v>58</v>
      </c>
      <c r="B8" s="30">
        <f>All!B48</f>
        <v>1.5</v>
      </c>
      <c r="C8" s="30">
        <f>All!C48</f>
        <v>6.5</v>
      </c>
    </row>
    <row r="9" spans="1:9" ht="15.75" thickBot="1" x14ac:dyDescent="0.3">
      <c r="A9" s="31" t="s">
        <v>59</v>
      </c>
      <c r="B9" s="30">
        <f>All!B49</f>
        <v>-0.5</v>
      </c>
      <c r="C9" s="30">
        <f>All!C49</f>
        <v>8</v>
      </c>
    </row>
    <row r="10" spans="1:9" ht="15.75" thickBot="1" x14ac:dyDescent="0.3">
      <c r="A10" s="31" t="s">
        <v>60</v>
      </c>
      <c r="B10" s="30">
        <f>All!B50</f>
        <v>0</v>
      </c>
      <c r="C10" s="30">
        <f>All!C50</f>
        <v>2.5</v>
      </c>
    </row>
    <row r="11" spans="1:9" ht="15.75" thickBot="1" x14ac:dyDescent="0.3">
      <c r="A11" s="31" t="s">
        <v>61</v>
      </c>
      <c r="B11" s="30">
        <f>All!B51</f>
        <v>1.5</v>
      </c>
      <c r="C11" s="30">
        <f>All!C51</f>
        <v>-0.5</v>
      </c>
    </row>
    <row r="12" spans="1:9" ht="15.75" thickBot="1" x14ac:dyDescent="0.3">
      <c r="A12" s="31" t="s">
        <v>62</v>
      </c>
      <c r="B12" s="30">
        <f>All!B52</f>
        <v>1</v>
      </c>
      <c r="C12" s="30">
        <f>All!C52</f>
        <v>6</v>
      </c>
    </row>
    <row r="13" spans="1:9" ht="15.75" thickBot="1" x14ac:dyDescent="0.3">
      <c r="A13" s="31" t="s">
        <v>63</v>
      </c>
      <c r="B13" s="30">
        <f>All!B53</f>
        <v>0.5</v>
      </c>
      <c r="C13" s="30">
        <f>All!C53</f>
        <v>3</v>
      </c>
    </row>
    <row r="14" spans="1:9" ht="15.75" thickBot="1" x14ac:dyDescent="0.3">
      <c r="A14" s="31" t="s">
        <v>64</v>
      </c>
      <c r="B14" s="30">
        <f>All!B54</f>
        <v>0.5</v>
      </c>
      <c r="C14" s="30">
        <f>All!C54</f>
        <v>8</v>
      </c>
    </row>
    <row r="15" spans="1:9" ht="15.75" thickBot="1" x14ac:dyDescent="0.3">
      <c r="A15" s="31" t="s">
        <v>65</v>
      </c>
      <c r="B15" s="30">
        <f>All!B55</f>
        <v>1</v>
      </c>
      <c r="C15" s="30">
        <f>All!C55</f>
        <v>6</v>
      </c>
    </row>
    <row r="16" spans="1:9" ht="15.75" thickBot="1" x14ac:dyDescent="0.3">
      <c r="A16" s="31" t="s">
        <v>66</v>
      </c>
      <c r="B16" s="30">
        <f>All!B56</f>
        <v>-0.5</v>
      </c>
      <c r="C16" s="30">
        <f>All!C56</f>
        <v>-2.5</v>
      </c>
    </row>
    <row r="17" spans="1:3" ht="15.75" thickBot="1" x14ac:dyDescent="0.3">
      <c r="A17" s="31" t="s">
        <v>67</v>
      </c>
      <c r="B17" s="30">
        <f>All!B57</f>
        <v>1.5</v>
      </c>
      <c r="C17" s="30">
        <f>All!C57</f>
        <v>-2</v>
      </c>
    </row>
    <row r="18" spans="1:3" ht="15.75" thickBot="1" x14ac:dyDescent="0.3">
      <c r="A18" s="31" t="s">
        <v>68</v>
      </c>
      <c r="B18" s="30">
        <f>All!B58</f>
        <v>0.5</v>
      </c>
      <c r="C18" s="30">
        <f>All!C58</f>
        <v>8</v>
      </c>
    </row>
    <row r="19" spans="1:3" ht="15.75" thickBot="1" x14ac:dyDescent="0.3">
      <c r="A19" s="31" t="s">
        <v>69</v>
      </c>
      <c r="B19" s="30">
        <f>All!B59</f>
        <v>1</v>
      </c>
      <c r="C19" s="30">
        <f>All!C59</f>
        <v>1.5</v>
      </c>
    </row>
    <row r="20" spans="1:3" ht="15.75" thickBot="1" x14ac:dyDescent="0.3">
      <c r="A20" s="31" t="s">
        <v>70</v>
      </c>
      <c r="B20" s="30">
        <f>All!B60</f>
        <v>0</v>
      </c>
      <c r="C20" s="30">
        <f>All!C60</f>
        <v>-5</v>
      </c>
    </row>
    <row r="21" spans="1:3" ht="15.75" thickBot="1" x14ac:dyDescent="0.3">
      <c r="A21" s="31" t="s">
        <v>71</v>
      </c>
      <c r="B21" s="30">
        <f>All!B61</f>
        <v>0</v>
      </c>
      <c r="C21" s="30">
        <f>All!C61</f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21"/>
  <sheetViews>
    <sheetView workbookViewId="0">
      <selection activeCell="C2" sqref="C2"/>
    </sheetView>
  </sheetViews>
  <sheetFormatPr defaultRowHeight="15" x14ac:dyDescent="0.25"/>
  <cols>
    <col min="1" max="16384" width="9.140625" style="30"/>
  </cols>
  <sheetData>
    <row r="1" spans="1:9" ht="15.75" thickBot="1" x14ac:dyDescent="0.3">
      <c r="A1" s="30" t="s">
        <v>9</v>
      </c>
      <c r="B1" s="30" t="s">
        <v>10</v>
      </c>
      <c r="C1" s="30" t="s">
        <v>11</v>
      </c>
      <c r="E1" s="32" t="s">
        <v>132</v>
      </c>
      <c r="F1" s="32" t="s">
        <v>133</v>
      </c>
      <c r="G1" s="32"/>
      <c r="H1" s="32" t="s">
        <v>134</v>
      </c>
      <c r="I1" s="32" t="s">
        <v>135</v>
      </c>
    </row>
    <row r="2" spans="1:9" ht="15.75" thickBot="1" x14ac:dyDescent="0.3">
      <c r="A2" s="31" t="s">
        <v>72</v>
      </c>
      <c r="B2" s="30">
        <f>All!B62</f>
        <v>0</v>
      </c>
      <c r="C2" s="30">
        <f>All!C62</f>
        <v>2.5</v>
      </c>
      <c r="E2" s="32">
        <f>_xlfn.STDEV.S(B2:B21)</f>
        <v>0.39319875782852459</v>
      </c>
      <c r="F2" s="32">
        <f>_xlfn.STDEV.S(C2:C21)</f>
        <v>2.1366168535671921</v>
      </c>
      <c r="G2" s="32"/>
      <c r="H2" s="32">
        <f>AVERAGE(B2:B21)</f>
        <v>0.375</v>
      </c>
      <c r="I2" s="32">
        <f>AVERAGE(C2:C21)</f>
        <v>-1.7749999999999999</v>
      </c>
    </row>
    <row r="3" spans="1:9" ht="15.75" thickBot="1" x14ac:dyDescent="0.3">
      <c r="A3" s="31" t="s">
        <v>73</v>
      </c>
      <c r="B3" s="30">
        <f>All!B63</f>
        <v>0.5</v>
      </c>
      <c r="C3" s="30">
        <f>All!C63</f>
        <v>-3</v>
      </c>
    </row>
    <row r="4" spans="1:9" ht="15.75" thickBot="1" x14ac:dyDescent="0.3">
      <c r="A4" s="31" t="s">
        <v>74</v>
      </c>
      <c r="B4" s="30">
        <f>All!B64</f>
        <v>1</v>
      </c>
      <c r="C4" s="30">
        <f>All!C64</f>
        <v>-2</v>
      </c>
    </row>
    <row r="5" spans="1:9" ht="15.75" thickBot="1" x14ac:dyDescent="0.3">
      <c r="A5" s="31" t="s">
        <v>75</v>
      </c>
      <c r="B5" s="30">
        <f>All!B65</f>
        <v>1</v>
      </c>
      <c r="C5" s="30">
        <f>All!C65</f>
        <v>0.5</v>
      </c>
    </row>
    <row r="6" spans="1:9" ht="15.75" thickBot="1" x14ac:dyDescent="0.3">
      <c r="A6" s="31" t="s">
        <v>76</v>
      </c>
      <c r="B6" s="30">
        <f>All!B66</f>
        <v>0</v>
      </c>
      <c r="C6" s="30">
        <f>All!C66</f>
        <v>-3</v>
      </c>
    </row>
    <row r="7" spans="1:9" ht="15.75" thickBot="1" x14ac:dyDescent="0.3">
      <c r="A7" s="31" t="s">
        <v>77</v>
      </c>
      <c r="B7" s="30">
        <f>All!B67</f>
        <v>0</v>
      </c>
      <c r="C7" s="30">
        <f>All!C67</f>
        <v>-2.5</v>
      </c>
    </row>
    <row r="8" spans="1:9" ht="15.75" thickBot="1" x14ac:dyDescent="0.3">
      <c r="A8" s="31" t="s">
        <v>78</v>
      </c>
      <c r="B8" s="30">
        <f>All!B68</f>
        <v>0</v>
      </c>
      <c r="C8" s="30">
        <f>All!C68</f>
        <v>1.5</v>
      </c>
    </row>
    <row r="9" spans="1:9" ht="15.75" thickBot="1" x14ac:dyDescent="0.3">
      <c r="A9" s="31" t="s">
        <v>79</v>
      </c>
      <c r="B9" s="30">
        <f>All!B69</f>
        <v>0.5</v>
      </c>
      <c r="C9" s="30">
        <f>All!C69</f>
        <v>-3.5</v>
      </c>
    </row>
    <row r="10" spans="1:9" ht="15.75" thickBot="1" x14ac:dyDescent="0.3">
      <c r="A10" s="31" t="s">
        <v>80</v>
      </c>
      <c r="B10" s="30">
        <f>All!B70</f>
        <v>1</v>
      </c>
      <c r="C10" s="30">
        <f>All!C70</f>
        <v>0</v>
      </c>
    </row>
    <row r="11" spans="1:9" ht="15.75" thickBot="1" x14ac:dyDescent="0.3">
      <c r="A11" s="31" t="s">
        <v>81</v>
      </c>
      <c r="B11" s="30">
        <f>All!B71</f>
        <v>0.5</v>
      </c>
      <c r="C11" s="30">
        <f>All!C71</f>
        <v>-4</v>
      </c>
    </row>
    <row r="12" spans="1:9" ht="15.75" thickBot="1" x14ac:dyDescent="0.3">
      <c r="A12" s="31" t="s">
        <v>82</v>
      </c>
      <c r="B12" s="30">
        <f>All!B72</f>
        <v>0</v>
      </c>
      <c r="C12" s="30">
        <f>All!C72</f>
        <v>-2.5</v>
      </c>
    </row>
    <row r="13" spans="1:9" ht="15.75" thickBot="1" x14ac:dyDescent="0.3">
      <c r="A13" s="31" t="s">
        <v>83</v>
      </c>
      <c r="B13" s="30">
        <f>All!B73</f>
        <v>0.5</v>
      </c>
      <c r="C13" s="30">
        <f>All!C73</f>
        <v>-4.5</v>
      </c>
    </row>
    <row r="14" spans="1:9" ht="15.75" thickBot="1" x14ac:dyDescent="0.3">
      <c r="A14" s="31" t="s">
        <v>84</v>
      </c>
      <c r="B14" s="30">
        <f>All!B74</f>
        <v>0</v>
      </c>
      <c r="C14" s="30">
        <f>All!C74</f>
        <v>-5</v>
      </c>
    </row>
    <row r="15" spans="1:9" ht="15.75" thickBot="1" x14ac:dyDescent="0.3">
      <c r="A15" s="31" t="s">
        <v>85</v>
      </c>
      <c r="B15" s="30">
        <f>All!B75</f>
        <v>0.5</v>
      </c>
      <c r="C15" s="30">
        <f>All!C75</f>
        <v>0.5</v>
      </c>
    </row>
    <row r="16" spans="1:9" ht="15.75" thickBot="1" x14ac:dyDescent="0.3">
      <c r="A16" s="31" t="s">
        <v>86</v>
      </c>
      <c r="B16" s="30">
        <f>All!B76</f>
        <v>1</v>
      </c>
      <c r="C16" s="30">
        <f>All!C76</f>
        <v>-1</v>
      </c>
    </row>
    <row r="17" spans="1:3" ht="15.75" thickBot="1" x14ac:dyDescent="0.3">
      <c r="A17" s="31" t="s">
        <v>87</v>
      </c>
      <c r="B17" s="30">
        <f>All!B77</f>
        <v>0</v>
      </c>
      <c r="C17" s="30">
        <f>All!C77</f>
        <v>-4</v>
      </c>
    </row>
    <row r="18" spans="1:3" ht="15.75" thickBot="1" x14ac:dyDescent="0.3">
      <c r="A18" s="31" t="s">
        <v>88</v>
      </c>
      <c r="B18" s="30">
        <f>All!B78</f>
        <v>0.5</v>
      </c>
      <c r="C18" s="30">
        <f>All!C78</f>
        <v>0.5</v>
      </c>
    </row>
    <row r="19" spans="1:3" ht="15.75" thickBot="1" x14ac:dyDescent="0.3">
      <c r="A19" s="31" t="s">
        <v>89</v>
      </c>
      <c r="B19" s="30">
        <f>All!B79</f>
        <v>0</v>
      </c>
      <c r="C19" s="30">
        <f>All!C79</f>
        <v>-3</v>
      </c>
    </row>
    <row r="20" spans="1:3" ht="15.75" thickBot="1" x14ac:dyDescent="0.3">
      <c r="A20" s="31" t="s">
        <v>90</v>
      </c>
      <c r="B20" s="30">
        <f>All!B80</f>
        <v>0.5</v>
      </c>
      <c r="C20" s="30">
        <f>All!C80</f>
        <v>-0.5</v>
      </c>
    </row>
    <row r="21" spans="1:3" ht="15.75" thickBot="1" x14ac:dyDescent="0.3">
      <c r="A21" s="31" t="s">
        <v>91</v>
      </c>
      <c r="B21" s="30">
        <f>All!B81</f>
        <v>0</v>
      </c>
      <c r="C21" s="30">
        <f>All!C81</f>
        <v>-2.5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1"/>
  <sheetViews>
    <sheetView workbookViewId="0">
      <selection activeCell="K11" sqref="K11"/>
    </sheetView>
  </sheetViews>
  <sheetFormatPr defaultRowHeight="15" x14ac:dyDescent="0.25"/>
  <cols>
    <col min="1" max="16384" width="9.140625" style="30"/>
  </cols>
  <sheetData>
    <row r="1" spans="1:9" ht="15.75" thickBot="1" x14ac:dyDescent="0.3">
      <c r="A1" s="30" t="s">
        <v>9</v>
      </c>
      <c r="B1" s="30" t="s">
        <v>10</v>
      </c>
      <c r="C1" s="30" t="s">
        <v>11</v>
      </c>
      <c r="E1" s="32" t="s">
        <v>132</v>
      </c>
      <c r="F1" s="32" t="s">
        <v>133</v>
      </c>
      <c r="G1" s="32"/>
      <c r="H1" s="32" t="s">
        <v>134</v>
      </c>
      <c r="I1" s="32" t="s">
        <v>135</v>
      </c>
    </row>
    <row r="2" spans="1:9" ht="15.75" thickBot="1" x14ac:dyDescent="0.3">
      <c r="A2" s="31" t="s">
        <v>92</v>
      </c>
      <c r="B2" s="30">
        <f>All!B82</f>
        <v>0.5</v>
      </c>
      <c r="C2" s="30">
        <f>All!C82</f>
        <v>7</v>
      </c>
      <c r="E2" s="32">
        <f>_xlfn.STDEV.S(B2:B21)</f>
        <v>0.6155870112510925</v>
      </c>
      <c r="F2" s="32">
        <f>_xlfn.STDEV.S(C2:C21)</f>
        <v>3.2763105051743477</v>
      </c>
      <c r="G2" s="32"/>
      <c r="H2" s="32">
        <f>AVERAGE(B2:B21)</f>
        <v>0.2</v>
      </c>
      <c r="I2" s="32">
        <f>AVERAGE(C2:C21)</f>
        <v>-1.55</v>
      </c>
    </row>
    <row r="3" spans="1:9" ht="15.75" thickBot="1" x14ac:dyDescent="0.3">
      <c r="A3" s="31" t="s">
        <v>93</v>
      </c>
      <c r="B3" s="30">
        <f>All!B83</f>
        <v>1</v>
      </c>
      <c r="C3" s="30">
        <f>All!C83</f>
        <v>3</v>
      </c>
    </row>
    <row r="4" spans="1:9" ht="15.75" thickBot="1" x14ac:dyDescent="0.3">
      <c r="A4" s="31" t="s">
        <v>94</v>
      </c>
      <c r="B4" s="30">
        <f>All!B84</f>
        <v>0.5</v>
      </c>
      <c r="C4" s="30">
        <f>All!C84</f>
        <v>-1</v>
      </c>
    </row>
    <row r="5" spans="1:9" ht="15.75" thickBot="1" x14ac:dyDescent="0.3">
      <c r="A5" s="31" t="s">
        <v>95</v>
      </c>
      <c r="B5" s="30">
        <f>All!B85</f>
        <v>0</v>
      </c>
      <c r="C5" s="30">
        <f>All!C85</f>
        <v>-3</v>
      </c>
    </row>
    <row r="6" spans="1:9" ht="15.75" thickBot="1" x14ac:dyDescent="0.3">
      <c r="A6" s="31" t="s">
        <v>96</v>
      </c>
      <c r="B6" s="30">
        <f>All!B86</f>
        <v>-0.5</v>
      </c>
      <c r="C6" s="30">
        <f>All!C86</f>
        <v>-3.5</v>
      </c>
    </row>
    <row r="7" spans="1:9" ht="15.75" thickBot="1" x14ac:dyDescent="0.3">
      <c r="A7" s="31" t="s">
        <v>97</v>
      </c>
      <c r="B7" s="30">
        <f>All!B87</f>
        <v>-1</v>
      </c>
      <c r="C7" s="30">
        <f>All!C87</f>
        <v>-6.5</v>
      </c>
    </row>
    <row r="8" spans="1:9" ht="15.75" thickBot="1" x14ac:dyDescent="0.3">
      <c r="A8" s="31" t="s">
        <v>98</v>
      </c>
      <c r="B8" s="30">
        <f>All!B88</f>
        <v>0</v>
      </c>
      <c r="C8" s="30">
        <f>All!C88</f>
        <v>-1.5</v>
      </c>
    </row>
    <row r="9" spans="1:9" ht="15.75" thickBot="1" x14ac:dyDescent="0.3">
      <c r="A9" s="31" t="s">
        <v>99</v>
      </c>
      <c r="B9" s="30">
        <f>All!B89</f>
        <v>1</v>
      </c>
      <c r="C9" s="30">
        <f>All!C89</f>
        <v>-1</v>
      </c>
    </row>
    <row r="10" spans="1:9" ht="15.75" thickBot="1" x14ac:dyDescent="0.3">
      <c r="A10" s="31" t="s">
        <v>100</v>
      </c>
      <c r="B10" s="30">
        <f>All!B90</f>
        <v>0</v>
      </c>
      <c r="C10" s="30">
        <f>All!C90</f>
        <v>4</v>
      </c>
    </row>
    <row r="11" spans="1:9" ht="15.75" thickBot="1" x14ac:dyDescent="0.3">
      <c r="A11" s="31" t="s">
        <v>101</v>
      </c>
      <c r="B11" s="30">
        <f>All!B91</f>
        <v>1</v>
      </c>
      <c r="C11" s="30">
        <f>All!C91</f>
        <v>-3</v>
      </c>
    </row>
    <row r="12" spans="1:9" ht="15.75" thickBot="1" x14ac:dyDescent="0.3">
      <c r="A12" s="31" t="s">
        <v>102</v>
      </c>
      <c r="B12" s="30">
        <f>All!B92</f>
        <v>-1</v>
      </c>
      <c r="C12" s="30">
        <f>All!C92</f>
        <v>-4.5</v>
      </c>
    </row>
    <row r="13" spans="1:9" ht="15.75" thickBot="1" x14ac:dyDescent="0.3">
      <c r="A13" s="31" t="s">
        <v>103</v>
      </c>
      <c r="B13" s="30">
        <f>All!B93</f>
        <v>0</v>
      </c>
      <c r="C13" s="30">
        <f>All!C93</f>
        <v>-0.5</v>
      </c>
    </row>
    <row r="14" spans="1:9" ht="15.75" thickBot="1" x14ac:dyDescent="0.3">
      <c r="A14" s="31" t="s">
        <v>104</v>
      </c>
      <c r="B14" s="30">
        <f>All!B94</f>
        <v>0.5</v>
      </c>
      <c r="C14" s="30">
        <f>All!C94</f>
        <v>-0.5</v>
      </c>
    </row>
    <row r="15" spans="1:9" ht="15.75" thickBot="1" x14ac:dyDescent="0.3">
      <c r="A15" s="31" t="s">
        <v>105</v>
      </c>
      <c r="B15" s="30">
        <f>All!B95</f>
        <v>0.5</v>
      </c>
      <c r="C15" s="30">
        <f>All!C95</f>
        <v>-1.5</v>
      </c>
    </row>
    <row r="16" spans="1:9" ht="15.75" thickBot="1" x14ac:dyDescent="0.3">
      <c r="A16" s="31" t="s">
        <v>106</v>
      </c>
      <c r="B16" s="30">
        <f>All!B96</f>
        <v>0</v>
      </c>
      <c r="C16" s="30">
        <f>All!C96</f>
        <v>-3</v>
      </c>
    </row>
    <row r="17" spans="1:3" ht="15.75" thickBot="1" x14ac:dyDescent="0.3">
      <c r="A17" s="31" t="s">
        <v>107</v>
      </c>
      <c r="B17" s="30">
        <f>All!B97</f>
        <v>0.5</v>
      </c>
      <c r="C17" s="30">
        <f>All!C97</f>
        <v>-4.5</v>
      </c>
    </row>
    <row r="18" spans="1:3" ht="15.75" thickBot="1" x14ac:dyDescent="0.3">
      <c r="A18" s="31" t="s">
        <v>108</v>
      </c>
      <c r="B18" s="30">
        <f>All!B98</f>
        <v>-0.5</v>
      </c>
      <c r="C18" s="30">
        <f>All!C98</f>
        <v>-6</v>
      </c>
    </row>
    <row r="19" spans="1:3" ht="15.75" thickBot="1" x14ac:dyDescent="0.3">
      <c r="A19" s="31" t="s">
        <v>109</v>
      </c>
      <c r="B19" s="30">
        <f>All!B99</f>
        <v>0</v>
      </c>
      <c r="C19" s="30">
        <f>All!C99</f>
        <v>-3</v>
      </c>
    </row>
    <row r="20" spans="1:3" ht="15.75" thickBot="1" x14ac:dyDescent="0.3">
      <c r="A20" s="31" t="s">
        <v>110</v>
      </c>
      <c r="B20" s="30">
        <f>All!B100</f>
        <v>1</v>
      </c>
      <c r="C20" s="30">
        <f>All!C100</f>
        <v>0</v>
      </c>
    </row>
    <row r="21" spans="1:3" ht="15.75" thickBot="1" x14ac:dyDescent="0.3">
      <c r="A21" s="31" t="s">
        <v>111</v>
      </c>
      <c r="B21" s="30">
        <f>All!B101</f>
        <v>0.5</v>
      </c>
      <c r="C21" s="30">
        <f>All!C101</f>
        <v>-2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21"/>
  <sheetViews>
    <sheetView workbookViewId="0">
      <selection activeCell="K19" sqref="K19"/>
    </sheetView>
  </sheetViews>
  <sheetFormatPr defaultRowHeight="15" x14ac:dyDescent="0.25"/>
  <cols>
    <col min="1" max="16384" width="9.140625" style="30"/>
  </cols>
  <sheetData>
    <row r="1" spans="1:9" ht="15.75" thickBot="1" x14ac:dyDescent="0.3">
      <c r="A1" s="30" t="s">
        <v>9</v>
      </c>
      <c r="B1" s="30" t="s">
        <v>10</v>
      </c>
      <c r="C1" s="30" t="s">
        <v>11</v>
      </c>
      <c r="E1" s="32" t="s">
        <v>132</v>
      </c>
      <c r="F1" s="32" t="s">
        <v>133</v>
      </c>
      <c r="G1" s="32"/>
      <c r="H1" s="32" t="s">
        <v>134</v>
      </c>
      <c r="I1" s="32" t="s">
        <v>135</v>
      </c>
    </row>
    <row r="2" spans="1:9" ht="15.75" thickBot="1" x14ac:dyDescent="0.3">
      <c r="A2" s="31" t="s">
        <v>112</v>
      </c>
      <c r="B2" s="30">
        <f>All!B102</f>
        <v>2</v>
      </c>
      <c r="C2" s="30">
        <f>All!C102</f>
        <v>0.5</v>
      </c>
      <c r="E2" s="32">
        <f>_xlfn.STDEV.S(B2:B21)</f>
        <v>0.65844713651055342</v>
      </c>
      <c r="F2" s="32">
        <f>_xlfn.STDEV.S(C2:C21)</f>
        <v>2.2278146006202673</v>
      </c>
      <c r="G2" s="32"/>
      <c r="H2" s="32">
        <f>AVERAGE(B2:B21)</f>
        <v>0.22500000000000001</v>
      </c>
      <c r="I2" s="32">
        <f>AVERAGE(C2:C21)</f>
        <v>1.6</v>
      </c>
    </row>
    <row r="3" spans="1:9" ht="15.75" thickBot="1" x14ac:dyDescent="0.3">
      <c r="A3" s="31" t="s">
        <v>113</v>
      </c>
      <c r="B3" s="30">
        <f>All!B103</f>
        <v>0</v>
      </c>
      <c r="C3" s="30">
        <f>All!C103</f>
        <v>-1.5</v>
      </c>
    </row>
    <row r="4" spans="1:9" ht="15.75" thickBot="1" x14ac:dyDescent="0.3">
      <c r="A4" s="31" t="s">
        <v>114</v>
      </c>
      <c r="B4" s="30">
        <f>All!B104</f>
        <v>0.5</v>
      </c>
      <c r="C4" s="30">
        <f>All!C104</f>
        <v>5</v>
      </c>
    </row>
    <row r="5" spans="1:9" ht="15.75" thickBot="1" x14ac:dyDescent="0.3">
      <c r="A5" s="31" t="s">
        <v>115</v>
      </c>
      <c r="B5" s="30">
        <f>All!B105</f>
        <v>-0.5</v>
      </c>
      <c r="C5" s="30">
        <f>All!C105</f>
        <v>4</v>
      </c>
    </row>
    <row r="6" spans="1:9" ht="15.75" thickBot="1" x14ac:dyDescent="0.3">
      <c r="A6" s="31" t="s">
        <v>116</v>
      </c>
      <c r="B6" s="30">
        <f>All!B106</f>
        <v>0</v>
      </c>
      <c r="C6" s="30">
        <f>All!C106</f>
        <v>2.5</v>
      </c>
    </row>
    <row r="7" spans="1:9" ht="15.75" thickBot="1" x14ac:dyDescent="0.3">
      <c r="A7" s="31" t="s">
        <v>117</v>
      </c>
      <c r="B7" s="30">
        <f>All!B107</f>
        <v>0</v>
      </c>
      <c r="C7" s="30">
        <f>All!C107</f>
        <v>1</v>
      </c>
    </row>
    <row r="8" spans="1:9" ht="15.75" thickBot="1" x14ac:dyDescent="0.3">
      <c r="A8" s="31" t="s">
        <v>118</v>
      </c>
      <c r="B8" s="30">
        <f>All!B108</f>
        <v>-0.5</v>
      </c>
      <c r="C8" s="30">
        <f>All!C108</f>
        <v>1</v>
      </c>
    </row>
    <row r="9" spans="1:9" ht="15.75" thickBot="1" x14ac:dyDescent="0.3">
      <c r="A9" s="31" t="s">
        <v>119</v>
      </c>
      <c r="B9" s="30">
        <f>All!B109</f>
        <v>-0.5</v>
      </c>
      <c r="C9" s="30">
        <f>All!C109</f>
        <v>-1.5</v>
      </c>
    </row>
    <row r="10" spans="1:9" ht="15.75" thickBot="1" x14ac:dyDescent="0.3">
      <c r="A10" s="31" t="s">
        <v>120</v>
      </c>
      <c r="B10" s="30">
        <f>All!B110</f>
        <v>1</v>
      </c>
      <c r="C10" s="30">
        <f>All!C110</f>
        <v>3.5</v>
      </c>
    </row>
    <row r="11" spans="1:9" ht="15.75" thickBot="1" x14ac:dyDescent="0.3">
      <c r="A11" s="31" t="s">
        <v>121</v>
      </c>
      <c r="B11" s="30">
        <f>All!B111</f>
        <v>-0.5</v>
      </c>
      <c r="C11" s="30">
        <f>All!C111</f>
        <v>0.5</v>
      </c>
    </row>
    <row r="12" spans="1:9" ht="15.75" thickBot="1" x14ac:dyDescent="0.3">
      <c r="A12" s="31" t="s">
        <v>122</v>
      </c>
      <c r="B12" s="30">
        <f>All!B112</f>
        <v>0</v>
      </c>
      <c r="C12" s="30">
        <f>All!C112</f>
        <v>2.5</v>
      </c>
    </row>
    <row r="13" spans="1:9" ht="15.75" thickBot="1" x14ac:dyDescent="0.3">
      <c r="A13" s="31" t="s">
        <v>123</v>
      </c>
      <c r="B13" s="30">
        <f>All!B113</f>
        <v>0</v>
      </c>
      <c r="C13" s="30">
        <f>All!C113</f>
        <v>0</v>
      </c>
    </row>
    <row r="14" spans="1:9" ht="15.75" thickBot="1" x14ac:dyDescent="0.3">
      <c r="A14" s="31" t="s">
        <v>124</v>
      </c>
      <c r="B14" s="30">
        <f>All!B114</f>
        <v>0.5</v>
      </c>
      <c r="C14" s="30">
        <f>All!C114</f>
        <v>1</v>
      </c>
    </row>
    <row r="15" spans="1:9" ht="15.75" thickBot="1" x14ac:dyDescent="0.3">
      <c r="A15" s="31" t="s">
        <v>125</v>
      </c>
      <c r="B15" s="30">
        <f>All!B115</f>
        <v>-0.5</v>
      </c>
      <c r="C15" s="30">
        <f>All!C115</f>
        <v>-2.5</v>
      </c>
    </row>
    <row r="16" spans="1:9" ht="15.75" thickBot="1" x14ac:dyDescent="0.3">
      <c r="A16" s="31" t="s">
        <v>126</v>
      </c>
      <c r="B16" s="30">
        <f>All!B116</f>
        <v>1</v>
      </c>
      <c r="C16" s="30">
        <f>All!C116</f>
        <v>3</v>
      </c>
    </row>
    <row r="17" spans="1:3" ht="15.75" thickBot="1" x14ac:dyDescent="0.3">
      <c r="A17" s="31" t="s">
        <v>127</v>
      </c>
      <c r="B17" s="30">
        <f>All!B117</f>
        <v>0.5</v>
      </c>
      <c r="C17" s="30">
        <f>All!C117</f>
        <v>2.5</v>
      </c>
    </row>
    <row r="18" spans="1:3" ht="15.75" thickBot="1" x14ac:dyDescent="0.3">
      <c r="A18" s="31" t="s">
        <v>128</v>
      </c>
      <c r="B18" s="30">
        <f>All!B118</f>
        <v>0</v>
      </c>
      <c r="C18" s="30">
        <f>All!C118</f>
        <v>0</v>
      </c>
    </row>
    <row r="19" spans="1:3" ht="15.75" thickBot="1" x14ac:dyDescent="0.3">
      <c r="A19" s="31" t="s">
        <v>129</v>
      </c>
      <c r="B19" s="30">
        <f>All!B119</f>
        <v>1</v>
      </c>
      <c r="C19" s="30">
        <f>All!C119</f>
        <v>0.5</v>
      </c>
    </row>
    <row r="20" spans="1:3" ht="15.75" thickBot="1" x14ac:dyDescent="0.3">
      <c r="A20" s="31" t="s">
        <v>130</v>
      </c>
      <c r="B20" s="30">
        <f>All!B120</f>
        <v>0</v>
      </c>
      <c r="C20" s="30">
        <f>All!C120</f>
        <v>5</v>
      </c>
    </row>
    <row r="21" spans="1:3" ht="15.75" thickBot="1" x14ac:dyDescent="0.3">
      <c r="A21" s="31" t="s">
        <v>131</v>
      </c>
      <c r="B21" s="30">
        <f>All!B121</f>
        <v>0.5</v>
      </c>
      <c r="C21" s="30">
        <f>All!C121</f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5"/>
  <sheetViews>
    <sheetView topLeftCell="M4" workbookViewId="0">
      <selection activeCell="F13" sqref="F13"/>
    </sheetView>
  </sheetViews>
  <sheetFormatPr defaultRowHeight="15" x14ac:dyDescent="0.25"/>
  <cols>
    <col min="1" max="16384" width="9.140625" style="30"/>
  </cols>
  <sheetData>
    <row r="1" spans="1:12" x14ac:dyDescent="0.25">
      <c r="A1" s="32"/>
      <c r="B1" s="32" t="s">
        <v>141</v>
      </c>
      <c r="C1" s="32"/>
      <c r="D1" s="32" t="s">
        <v>140</v>
      </c>
      <c r="E1" s="32"/>
      <c r="F1" s="32" t="s">
        <v>139</v>
      </c>
      <c r="G1" s="32"/>
      <c r="H1" s="32" t="s">
        <v>138</v>
      </c>
      <c r="I1" s="32"/>
      <c r="J1" s="32" t="s">
        <v>137</v>
      </c>
      <c r="K1" s="32"/>
      <c r="L1" s="32" t="s">
        <v>136</v>
      </c>
    </row>
    <row r="2" spans="1:12" x14ac:dyDescent="0.25">
      <c r="A2" s="32" t="s">
        <v>132</v>
      </c>
      <c r="B2" s="32">
        <f>Emily!E2</f>
        <v>0.76777189594991446</v>
      </c>
      <c r="C2" s="32" t="s">
        <v>132</v>
      </c>
      <c r="D2" s="32">
        <f>Hunter!E2</f>
        <v>0.7181848464596079</v>
      </c>
      <c r="E2" s="32" t="s">
        <v>132</v>
      </c>
      <c r="F2" s="32">
        <f>Todd!E2</f>
        <v>0.4993416718672275</v>
      </c>
      <c r="G2" s="32" t="s">
        <v>132</v>
      </c>
      <c r="H2" s="32">
        <f>Anthony!E2</f>
        <v>0.39319875782852459</v>
      </c>
      <c r="I2" s="32" t="s">
        <v>132</v>
      </c>
      <c r="J2" s="32">
        <f>Anthony!E2</f>
        <v>0.39319875782852459</v>
      </c>
      <c r="K2" s="32" t="s">
        <v>132</v>
      </c>
      <c r="L2" s="32">
        <f>Brett!E2</f>
        <v>0.65844713651055342</v>
      </c>
    </row>
    <row r="3" spans="1:12" x14ac:dyDescent="0.25">
      <c r="A3" s="32" t="s">
        <v>133</v>
      </c>
      <c r="B3" s="32">
        <f>Emily!F2</f>
        <v>4.1183159562847376</v>
      </c>
      <c r="C3" s="32" t="s">
        <v>133</v>
      </c>
      <c r="D3" s="32">
        <f>Hunter!F2</f>
        <v>4.5811398259890694</v>
      </c>
      <c r="E3" s="32" t="s">
        <v>133</v>
      </c>
      <c r="F3" s="32">
        <f>Todd!F2</f>
        <v>2.0222447142248945</v>
      </c>
      <c r="G3" s="32" t="s">
        <v>133</v>
      </c>
      <c r="H3" s="32">
        <f>Anthony!F2</f>
        <v>2.1366168535671921</v>
      </c>
      <c r="I3" s="32" t="s">
        <v>133</v>
      </c>
      <c r="J3" s="32">
        <f>Mary!F2</f>
        <v>3.2763105051743477</v>
      </c>
      <c r="K3" s="32" t="s">
        <v>133</v>
      </c>
      <c r="L3" s="32">
        <f>Brett!F2</f>
        <v>2.2278146006202673</v>
      </c>
    </row>
    <row r="4" spans="1:12" x14ac:dyDescent="0.25">
      <c r="A4" s="32" t="s">
        <v>134</v>
      </c>
      <c r="B4" s="32">
        <f>Emily!H2</f>
        <v>0.2</v>
      </c>
      <c r="C4" s="32" t="s">
        <v>134</v>
      </c>
      <c r="D4" s="32">
        <f>Hunter!H2</f>
        <v>0.4</v>
      </c>
      <c r="E4" s="32" t="s">
        <v>134</v>
      </c>
      <c r="F4" s="32">
        <f>Todd!H2</f>
        <v>0.27500000000000002</v>
      </c>
      <c r="G4" s="32" t="s">
        <v>134</v>
      </c>
      <c r="H4" s="32">
        <f>Anthony!H2</f>
        <v>0.375</v>
      </c>
      <c r="I4" s="32" t="s">
        <v>134</v>
      </c>
      <c r="J4" s="32">
        <f>Mary!H2</f>
        <v>0.2</v>
      </c>
      <c r="K4" s="32" t="s">
        <v>134</v>
      </c>
      <c r="L4" s="32">
        <f>Brett!H2</f>
        <v>0.22500000000000001</v>
      </c>
    </row>
    <row r="5" spans="1:12" x14ac:dyDescent="0.25">
      <c r="A5" s="32" t="s">
        <v>135</v>
      </c>
      <c r="B5" s="32">
        <f>Emily!I2</f>
        <v>-2.25</v>
      </c>
      <c r="C5" s="32" t="s">
        <v>135</v>
      </c>
      <c r="D5" s="32">
        <f>Hunter!I2</f>
        <v>2.75</v>
      </c>
      <c r="E5" s="32" t="s">
        <v>135</v>
      </c>
      <c r="F5" s="32">
        <f>Todd!I2</f>
        <v>-3.2</v>
      </c>
      <c r="G5" s="32" t="s">
        <v>135</v>
      </c>
      <c r="H5" s="32">
        <f>Anthony!I2</f>
        <v>-1.7749999999999999</v>
      </c>
      <c r="I5" s="32" t="s">
        <v>135</v>
      </c>
      <c r="J5" s="32">
        <f>Mary!I2</f>
        <v>-1.55</v>
      </c>
      <c r="K5" s="32" t="s">
        <v>135</v>
      </c>
      <c r="L5" s="32">
        <f>Brett!I2</f>
        <v>1.6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Charts</vt:lpstr>
      </vt:variant>
      <vt:variant>
        <vt:i4>1</vt:i4>
      </vt:variant>
    </vt:vector>
  </HeadingPairs>
  <TitlesOfParts>
    <vt:vector size="13" baseType="lpstr">
      <vt:lpstr>All</vt:lpstr>
      <vt:lpstr>Enter Data Here</vt:lpstr>
      <vt:lpstr>Individual Shot Sheets</vt:lpstr>
      <vt:lpstr>Moving Sheets</vt:lpstr>
      <vt:lpstr>Simple Moving Average Charts</vt:lpstr>
      <vt:lpstr>Emily</vt:lpstr>
      <vt:lpstr>Todd</vt:lpstr>
      <vt:lpstr>Hunter</vt:lpstr>
      <vt:lpstr>Anthony</vt:lpstr>
      <vt:lpstr>Mary</vt:lpstr>
      <vt:lpstr>Brett</vt:lpstr>
      <vt:lpstr>Individual stats</vt:lpstr>
      <vt:lpstr>3D Histogram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ngeikut</dc:creator>
  <cp:lastModifiedBy>hunter palcich</cp:lastModifiedBy>
  <dcterms:created xsi:type="dcterms:W3CDTF">2004-03-30T20:12:20Z</dcterms:created>
  <dcterms:modified xsi:type="dcterms:W3CDTF">2018-02-05T02:36:03Z</dcterms:modified>
</cp:coreProperties>
</file>